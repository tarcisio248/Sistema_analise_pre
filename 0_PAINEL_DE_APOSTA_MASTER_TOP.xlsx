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cisio\Documents\01_PAINEL MASTER\"/>
    </mc:Choice>
  </mc:AlternateContent>
  <xr:revisionPtr revIDLastSave="0" documentId="13_ncr:1_{BFB30354-BD14-41A5-9292-94D28094FE84}" xr6:coauthVersionLast="47" xr6:coauthVersionMax="47" xr10:uidLastSave="{00000000-0000-0000-0000-000000000000}"/>
  <bookViews>
    <workbookView xWindow="-120" yWindow="-120" windowWidth="38640" windowHeight="15720" xr2:uid="{66B7C3A4-A20E-4DEF-8CDA-3B9B0E8B2F57}"/>
  </bookViews>
  <sheets>
    <sheet name="BASE_MASTER_V20" sheetId="4" r:id="rId1"/>
    <sheet name="0_00_A_PAINEL_MASTER_V20_APOSTA" sheetId="16" r:id="rId2"/>
  </sheets>
  <definedNames>
    <definedName name="DadosExternos_1" localSheetId="1" hidden="1">'0_00_A_PAINEL_MASTER_V20_APOSTA'!$A$1:$Z$40</definedName>
    <definedName name="SegmentaçãodeDados_Data">#N/A</definedName>
    <definedName name="SegmentaçãodeDados_Met">#N/A</definedName>
    <definedName name="SegmentaçãodeDados_odds_Ap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6" i="4" l="1"/>
  <c r="A157" i="4" s="1"/>
  <c r="A158" i="4" s="1"/>
  <c r="A159" i="4" s="1"/>
  <c r="A160" i="4" s="1"/>
  <c r="A161" i="4" s="1"/>
  <c r="R157" i="4"/>
  <c r="R161" i="4"/>
  <c r="R158" i="4"/>
  <c r="R159" i="4"/>
  <c r="R160" i="4"/>
  <c r="R156" i="4"/>
  <c r="R155" i="4"/>
  <c r="R154" i="4"/>
  <c r="R152" i="4"/>
  <c r="R153" i="4"/>
  <c r="R149" i="4"/>
  <c r="R150" i="4"/>
  <c r="R151" i="4"/>
  <c r="R144" i="4"/>
  <c r="R145" i="4"/>
  <c r="R146" i="4"/>
  <c r="R147" i="4"/>
  <c r="R148" i="4"/>
  <c r="R140" i="4"/>
  <c r="R141" i="4"/>
  <c r="R142" i="4"/>
  <c r="R143" i="4"/>
  <c r="R139" i="4"/>
  <c r="R138" i="4"/>
  <c r="R137" i="4"/>
  <c r="R136" i="4"/>
  <c r="R135" i="4"/>
  <c r="R134" i="4"/>
  <c r="R133" i="4"/>
  <c r="R129" i="4"/>
  <c r="R130" i="4"/>
  <c r="R131" i="4"/>
  <c r="R132" i="4"/>
  <c r="R128" i="4"/>
  <c r="R121" i="4" l="1"/>
  <c r="R122" i="4"/>
  <c r="R123" i="4"/>
  <c r="R124" i="4"/>
  <c r="R125" i="4"/>
  <c r="R126" i="4"/>
  <c r="R127" i="4"/>
  <c r="R120" i="4"/>
  <c r="R118" i="4"/>
  <c r="R119" i="4"/>
  <c r="R115" i="4"/>
  <c r="R116" i="4"/>
  <c r="R117" i="4"/>
  <c r="R114" i="4" l="1"/>
  <c r="R111" i="4"/>
  <c r="R112" i="4"/>
  <c r="R113" i="4"/>
  <c r="R110" i="4"/>
  <c r="R109" i="4"/>
  <c r="R108" i="4"/>
  <c r="R107" i="4"/>
  <c r="R106" i="4"/>
  <c r="R105" i="4"/>
  <c r="R104" i="4"/>
  <c r="R103" i="4" l="1"/>
  <c r="R102" i="4"/>
  <c r="R96" i="4"/>
  <c r="R97" i="4"/>
  <c r="R98" i="4"/>
  <c r="R99" i="4"/>
  <c r="R100" i="4"/>
  <c r="R101" i="4"/>
  <c r="R95" i="4"/>
  <c r="R90" i="4"/>
  <c r="R91" i="4"/>
  <c r="R92" i="4"/>
  <c r="R93" i="4"/>
  <c r="R94" i="4"/>
  <c r="R89" i="4"/>
  <c r="R88" i="4"/>
  <c r="R87" i="4"/>
  <c r="R86" i="4" l="1"/>
  <c r="R85" i="4"/>
  <c r="R81" i="4"/>
  <c r="R82" i="4"/>
  <c r="R83" i="4"/>
  <c r="R84" i="4"/>
  <c r="R80" i="4"/>
  <c r="R78" i="4"/>
  <c r="R79" i="4"/>
  <c r="R75" i="4"/>
  <c r="R76" i="4"/>
  <c r="R77" i="4"/>
  <c r="R71" i="4"/>
  <c r="R72" i="4"/>
  <c r="R73" i="4"/>
  <c r="R74" i="4"/>
  <c r="R64" i="4"/>
  <c r="R65" i="4"/>
  <c r="R66" i="4"/>
  <c r="R67" i="4"/>
  <c r="R68" i="4"/>
  <c r="R69" i="4"/>
  <c r="R70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44" i="4"/>
  <c r="R45" i="4"/>
  <c r="R46" i="4"/>
  <c r="R47" i="4"/>
  <c r="R42" i="4"/>
  <c r="R43" i="4"/>
  <c r="R37" i="4" l="1"/>
  <c r="R38" i="4"/>
  <c r="R39" i="4"/>
  <c r="R40" i="4"/>
  <c r="R41" i="4"/>
  <c r="R22" i="4" l="1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R19" i="4"/>
  <c r="R20" i="4"/>
  <c r="R21" i="4"/>
  <c r="R18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T3" i="4" l="1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525C97-DBAC-471F-9C84-016326C569CC}" keepAlive="1" name="Consulta - 0_00_A_PAINEL_MASTER_V20_APOSTA_ROD (2)" description="Conexão com a consulta '0_00_A_PAINEL_MASTER_V20_APOSTA_ROD (2)' na pasta de trabalho." type="5" refreshedVersion="8" background="1" saveData="1">
    <dbPr connection="Provider=Microsoft.Mashup.OleDb.1;Data Source=$Workbook$;Location=&quot;0_00_A_PAINEL_MASTER_V20_APOSTA_ROD (2)&quot;;Extended Properties=&quot;&quot;" command="SELECT * FROM [0_00_A_PAINEL_MASTER_V20_APOSTA_ROD (2)]"/>
  </connection>
</connections>
</file>

<file path=xl/sharedStrings.xml><?xml version="1.0" encoding="utf-8"?>
<sst xmlns="http://schemas.openxmlformats.org/spreadsheetml/2006/main" count="1120" uniqueCount="292">
  <si>
    <t>Data</t>
  </si>
  <si>
    <t>Liga</t>
  </si>
  <si>
    <t>rodada</t>
  </si>
  <si>
    <t>casa</t>
  </si>
  <si>
    <t>fora</t>
  </si>
  <si>
    <t>Met</t>
  </si>
  <si>
    <t>coment</t>
  </si>
  <si>
    <t>M_Odds_Ca</t>
  </si>
  <si>
    <t>M_Odds_Fo</t>
  </si>
  <si>
    <t>MCto_pg_Ca</t>
  </si>
  <si>
    <t>MCto_pg_Fo</t>
  </si>
  <si>
    <t>MVl_pg_Ca</t>
  </si>
  <si>
    <t>MVl_pg_Fo</t>
  </si>
  <si>
    <t>MCto_GOL_Ca</t>
  </si>
  <si>
    <t>MCto_GOL_Fo</t>
  </si>
  <si>
    <t>MVl_GOL_Ca</t>
  </si>
  <si>
    <t>MVl_GOL_Fo</t>
  </si>
  <si>
    <t>gols_casa</t>
  </si>
  <si>
    <t>gols_fora</t>
  </si>
  <si>
    <t>rest</t>
  </si>
  <si>
    <t>Inglaterra_1</t>
  </si>
  <si>
    <t>Inglaterra_2</t>
  </si>
  <si>
    <t>Swansea City</t>
  </si>
  <si>
    <t>Bristol City</t>
  </si>
  <si>
    <t>Queens Park Rangers</t>
  </si>
  <si>
    <t>Norwich City</t>
  </si>
  <si>
    <t>Birmingham City</t>
  </si>
  <si>
    <t>Inglaterra_3</t>
  </si>
  <si>
    <t>Leyton Orient</t>
  </si>
  <si>
    <t>Espanha_1</t>
  </si>
  <si>
    <t>CA Osasuna</t>
  </si>
  <si>
    <t>Espanha_2</t>
  </si>
  <si>
    <t>Granada CF</t>
  </si>
  <si>
    <t>Real Oviedo</t>
  </si>
  <si>
    <t>Ceuta</t>
  </si>
  <si>
    <t>Sporting Gijón</t>
  </si>
  <si>
    <t>Franca_1</t>
  </si>
  <si>
    <t>Brest</t>
  </si>
  <si>
    <t>Auxerre</t>
  </si>
  <si>
    <t>Le Havre</t>
  </si>
  <si>
    <t>Cádiz</t>
  </si>
  <si>
    <t>Holanda_1</t>
  </si>
  <si>
    <t>Alemanha_1</t>
  </si>
  <si>
    <t>Holanda_2</t>
  </si>
  <si>
    <t>Freiburg</t>
  </si>
  <si>
    <t>Romenia_1</t>
  </si>
  <si>
    <t>Rapid Bucureşti</t>
  </si>
  <si>
    <t>Metaloglobus</t>
  </si>
  <si>
    <t>Turquia_1</t>
  </si>
  <si>
    <t>İstanbul Başakşehir</t>
  </si>
  <si>
    <t>Alemanha_3</t>
  </si>
  <si>
    <t>Alemannia Aachen</t>
  </si>
  <si>
    <t>Osnabrück</t>
  </si>
  <si>
    <t>Alemanha_2</t>
  </si>
  <si>
    <t>Paderborn</t>
  </si>
  <si>
    <t>Beşiktaş</t>
  </si>
  <si>
    <t>Kayserispor</t>
  </si>
  <si>
    <t>Lado_Ap</t>
  </si>
  <si>
    <t>odds_Ap</t>
  </si>
  <si>
    <t>Stake</t>
  </si>
  <si>
    <t>P&amp;L</t>
  </si>
  <si>
    <t>Belgica_1</t>
  </si>
  <si>
    <t>Italia_1</t>
  </si>
  <si>
    <t>Italia_2</t>
  </si>
  <si>
    <t>Aston Villa</t>
  </si>
  <si>
    <t>Tottenham Hotspur</t>
  </si>
  <si>
    <t>Everton</t>
  </si>
  <si>
    <t>Millwall</t>
  </si>
  <si>
    <t>Lincoln City</t>
  </si>
  <si>
    <t>Peterborough United</t>
  </si>
  <si>
    <t>Wycombe Wanderers</t>
  </si>
  <si>
    <t>Leicester City</t>
  </si>
  <si>
    <t>Real Sociedad</t>
  </si>
  <si>
    <t>Mirandés</t>
  </si>
  <si>
    <t>Pescara</t>
  </si>
  <si>
    <t>Cesena</t>
  </si>
  <si>
    <t>Real Valladolid</t>
  </si>
  <si>
    <t>Calcio Padova</t>
  </si>
  <si>
    <t>Monaco</t>
  </si>
  <si>
    <t>Lorient</t>
  </si>
  <si>
    <t>Stoke City</t>
  </si>
  <si>
    <t>Lens</t>
  </si>
  <si>
    <t>Rennes</t>
  </si>
  <si>
    <t>Olympique Lyonnais</t>
  </si>
  <si>
    <t>Sint-Truiden</t>
  </si>
  <si>
    <t>OH Leuven</t>
  </si>
  <si>
    <t>Sampdoria</t>
  </si>
  <si>
    <t>Virtus Entella</t>
  </si>
  <si>
    <t>Bologna</t>
  </si>
  <si>
    <t>Ajax II</t>
  </si>
  <si>
    <t>Roda JC</t>
  </si>
  <si>
    <t>MVl_GOLC_AMB</t>
  </si>
  <si>
    <t>MVl_GOLF_AMB</t>
  </si>
  <si>
    <t>%V_Ca</t>
  </si>
  <si>
    <t>%E_Ca</t>
  </si>
  <si>
    <t>%D_Ca</t>
  </si>
  <si>
    <t>%V_Fo</t>
  </si>
  <si>
    <t>%E_Fo</t>
  </si>
  <si>
    <t>%D_Fo</t>
  </si>
  <si>
    <t>Odds=1.43/2.83</t>
  </si>
  <si>
    <t>Back_Casa</t>
  </si>
  <si>
    <t>Oxford United</t>
  </si>
  <si>
    <t>Odds=1.73/2.93</t>
  </si>
  <si>
    <t>Back_Fora</t>
  </si>
  <si>
    <t>Reggiana</t>
  </si>
  <si>
    <t>Strasbourg</t>
  </si>
  <si>
    <t>Metz</t>
  </si>
  <si>
    <t>Índice</t>
  </si>
  <si>
    <t>Burton Albion</t>
  </si>
  <si>
    <t>Darmstadt 98</t>
  </si>
  <si>
    <t>Nürnberg</t>
  </si>
  <si>
    <t>Viktoria Köln</t>
  </si>
  <si>
    <t>Saarbrucken</t>
  </si>
  <si>
    <t>Frosinone</t>
  </si>
  <si>
    <t>Hannover 96</t>
  </si>
  <si>
    <t>Fortuna Düsseldorf</t>
  </si>
  <si>
    <t>MSV Duisburg</t>
  </si>
  <si>
    <t>Jahn Regensburg</t>
  </si>
  <si>
    <t>Monza</t>
  </si>
  <si>
    <t>RSC Anderlecht</t>
  </si>
  <si>
    <t>FCV Dender EH</t>
  </si>
  <si>
    <t>Schalke 04</t>
  </si>
  <si>
    <t>Kaiserslautern</t>
  </si>
  <si>
    <t>Preußen Münster</t>
  </si>
  <si>
    <t>PEC Zwolle</t>
  </si>
  <si>
    <t>AZ</t>
  </si>
  <si>
    <t>Bolton Wanderers</t>
  </si>
  <si>
    <t>Bayer Leverkusen</t>
  </si>
  <si>
    <t>Werder Bremen</t>
  </si>
  <si>
    <t>Köln</t>
  </si>
  <si>
    <t>Burnley</t>
  </si>
  <si>
    <t>Argeș</t>
  </si>
  <si>
    <t>Lille</t>
  </si>
  <si>
    <t>Cultural y Deportiva Leonesa</t>
  </si>
  <si>
    <t>Charlton Athletic</t>
  </si>
  <si>
    <t>Coventry City</t>
  </si>
  <si>
    <t>Rot-Weiss Essen</t>
  </si>
  <si>
    <t>Havelse</t>
  </si>
  <si>
    <t>CD Castellón</t>
  </si>
  <si>
    <t>Genoa</t>
  </si>
  <si>
    <t>Hora_Jg</t>
  </si>
  <si>
    <t>Antalyaspor</t>
  </si>
  <si>
    <t>Trabzonspor</t>
  </si>
  <si>
    <t>Den Bosch</t>
  </si>
  <si>
    <t>Emmen</t>
  </si>
  <si>
    <t>Magdeburg</t>
  </si>
  <si>
    <t>Deportivo La Coruña</t>
  </si>
  <si>
    <t>Barnsley</t>
  </si>
  <si>
    <t>Stevenage</t>
  </si>
  <si>
    <t>Luton Town</t>
  </si>
  <si>
    <t>Blackpool</t>
  </si>
  <si>
    <t>Bradford City</t>
  </si>
  <si>
    <t>Doncaster Rovers</t>
  </si>
  <si>
    <t>Watford</t>
  </si>
  <si>
    <t>Franca_2</t>
  </si>
  <si>
    <t>Dunkerque</t>
  </si>
  <si>
    <t>Annecy</t>
  </si>
  <si>
    <t>Brentford</t>
  </si>
  <si>
    <t>Real Betis</t>
  </si>
  <si>
    <t>Valencia CF</t>
  </si>
  <si>
    <t>Chelsea</t>
  </si>
  <si>
    <t>West Ham United</t>
  </si>
  <si>
    <t>Avellino</t>
  </si>
  <si>
    <t>Wigan Athletic</t>
  </si>
  <si>
    <t>Cardiff City</t>
  </si>
  <si>
    <t>Blackburn Rovers</t>
  </si>
  <si>
    <t>Sporting Charleroi</t>
  </si>
  <si>
    <t>Göztepe</t>
  </si>
  <si>
    <t>Fatih Karagümrük</t>
  </si>
  <si>
    <t>Konyaspor</t>
  </si>
  <si>
    <t>Waldhof Mannheim</t>
  </si>
  <si>
    <t>Stockport County</t>
  </si>
  <si>
    <t>Plymouth Argyle</t>
  </si>
  <si>
    <t>Sheffield United</t>
  </si>
  <si>
    <t>FC Andorra</t>
  </si>
  <si>
    <t>Almería</t>
  </si>
  <si>
    <t>Stuttgart</t>
  </si>
  <si>
    <t>Athletic Club Bilbao</t>
  </si>
  <si>
    <t>Napoli</t>
  </si>
  <si>
    <t>Borussia M'gladbach</t>
  </si>
  <si>
    <t>Nantes</t>
  </si>
  <si>
    <t>Wolverhampton Wanderers</t>
  </si>
  <si>
    <t>UD Las Palmas</t>
  </si>
  <si>
    <t>Burgos CF</t>
  </si>
  <si>
    <t>Newcastle United</t>
  </si>
  <si>
    <t>Le Mans</t>
  </si>
  <si>
    <t>Laval</t>
  </si>
  <si>
    <t>Modena</t>
  </si>
  <si>
    <t>Huddersfield Town</t>
  </si>
  <si>
    <t>Wehen Wiesbaden</t>
  </si>
  <si>
    <t>Schweinfurt</t>
  </si>
  <si>
    <t>Palermo</t>
  </si>
  <si>
    <t>Empoli</t>
  </si>
  <si>
    <t>Málaga CF</t>
  </si>
  <si>
    <t>SD Huesca</t>
  </si>
  <si>
    <t>Levante UD</t>
  </si>
  <si>
    <t>Roma</t>
  </si>
  <si>
    <t>Cagliari</t>
  </si>
  <si>
    <t>AZ II</t>
  </si>
  <si>
    <t>Dordrecht</t>
  </si>
  <si>
    <t>Dynamo Dresden</t>
  </si>
  <si>
    <t>Rep_Tcheca_1</t>
  </si>
  <si>
    <t>Holstein Kiel</t>
  </si>
  <si>
    <t>Wolfsburg</t>
  </si>
  <si>
    <t>Total Geral</t>
  </si>
  <si>
    <t>LIGA</t>
  </si>
  <si>
    <t>N</t>
  </si>
  <si>
    <t>PL</t>
  </si>
  <si>
    <t>Média de odds_Ap</t>
  </si>
  <si>
    <t>Win-rate</t>
  </si>
  <si>
    <t>INDICI</t>
  </si>
  <si>
    <t>Leeds United</t>
  </si>
  <si>
    <t>Brighton &amp; Hove Albion</t>
  </si>
  <si>
    <t>Eindhoven</t>
  </si>
  <si>
    <t>Samsunspor</t>
  </si>
  <si>
    <t>Amiens SC</t>
  </si>
  <si>
    <t>Erzgebirge Aue</t>
  </si>
  <si>
    <t>Getafe CF</t>
  </si>
  <si>
    <t>Villarreal</t>
  </si>
  <si>
    <t>AFC Wimbledon</t>
  </si>
  <si>
    <t>St. Pauli</t>
  </si>
  <si>
    <t>RAAL La Louvière</t>
  </si>
  <si>
    <t>Zulte-Waregem</t>
  </si>
  <si>
    <t>Nice</t>
  </si>
  <si>
    <t>Unirea Slobozia</t>
  </si>
  <si>
    <t>CS U Craiova</t>
  </si>
  <si>
    <t>SSC Farul</t>
  </si>
  <si>
    <t>Hradec Králové</t>
  </si>
  <si>
    <t>Zlín</t>
  </si>
  <si>
    <t>Pisa</t>
  </si>
  <si>
    <t>i-=m</t>
  </si>
  <si>
    <t>jan</t>
  </si>
  <si>
    <t>fev</t>
  </si>
  <si>
    <t>Elche CF</t>
  </si>
  <si>
    <t>De Graafschap</t>
  </si>
  <si>
    <t>Utrecht II</t>
  </si>
  <si>
    <t>Bochum</t>
  </si>
  <si>
    <t>Alanyaspor</t>
  </si>
  <si>
    <t>Rayo Vallecano</t>
  </si>
  <si>
    <t>Southampton</t>
  </si>
  <si>
    <t>Middlesbrough</t>
  </si>
  <si>
    <t>Portsmouth</t>
  </si>
  <si>
    <t>Gaziantep FK</t>
  </si>
  <si>
    <t>Nottingham Forest</t>
  </si>
  <si>
    <t>Liverpool</t>
  </si>
  <si>
    <t>Racing Santander</t>
  </si>
  <si>
    <t>Utrecht</t>
  </si>
  <si>
    <t>1.74</t>
  </si>
  <si>
    <t>Clermont</t>
  </si>
  <si>
    <t>MVV</t>
  </si>
  <si>
    <t>Albacete Balompié</t>
  </si>
  <si>
    <t>Bari 1908</t>
  </si>
  <si>
    <t>Oss</t>
  </si>
  <si>
    <t>Cambuur</t>
  </si>
  <si>
    <t>Elversberg</t>
  </si>
  <si>
    <t>Pau</t>
  </si>
  <si>
    <t>Saint-Étienne</t>
  </si>
  <si>
    <t>Rotherham United</t>
  </si>
  <si>
    <t>Slovan Liberec</t>
  </si>
  <si>
    <t>Greuther Fürth</t>
  </si>
  <si>
    <t>Stuttgart II</t>
  </si>
  <si>
    <t>Royal Antwerp FC</t>
  </si>
  <si>
    <t>Mladá Boleslav</t>
  </si>
  <si>
    <t>Jablonec</t>
  </si>
  <si>
    <t>Mainz 05</t>
  </si>
  <si>
    <t>Angers SCO</t>
  </si>
  <si>
    <t>Hellas Verona</t>
  </si>
  <si>
    <t>Portugal_1</t>
  </si>
  <si>
    <t>Rio Ave FC</t>
  </si>
  <si>
    <t>Famalicão</t>
  </si>
  <si>
    <t>Girona FC</t>
  </si>
  <si>
    <t>Celta de Vigo</t>
  </si>
  <si>
    <t>Sigma Olomouc</t>
  </si>
  <si>
    <t>Bohemians 1905</t>
  </si>
  <si>
    <t>Leganés</t>
  </si>
  <si>
    <t>Sevilla FC</t>
  </si>
  <si>
    <t>Eintracht Frankfurt</t>
  </si>
  <si>
    <t>Córdoba</t>
  </si>
  <si>
    <t>0-5</t>
  </si>
  <si>
    <t>5-10</t>
  </si>
  <si>
    <t>10-15</t>
  </si>
  <si>
    <t>15-20</t>
  </si>
  <si>
    <t>20-25</t>
  </si>
  <si>
    <t>25-30</t>
  </si>
  <si>
    <t>30-35</t>
  </si>
  <si>
    <t>35-40</t>
  </si>
  <si>
    <t>40-45</t>
  </si>
  <si>
    <t>50-55</t>
  </si>
  <si>
    <t>Hull City</t>
  </si>
  <si>
    <t>Derby County</t>
  </si>
  <si>
    <t>Wrexham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</si>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</sst>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[0_PAINEL_DE_APOSTA_MASTER_TOP.xlsx]BASE_MASTER_V20!Tabela dinâmica6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BASE_MASTER_V20!$BD$2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BASE_MASTER_V20!$BC$3:$BC$95</c:f>
              <c:strCache>
                <c:ptCount val="92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  <c:pt idx="5">
                  <c:v>68</c:v>
                </c:pt>
                <c:pt idx="6">
                  <c:v>69</c:v>
                </c:pt>
                <c:pt idx="7">
                  <c:v>70</c:v>
                </c:pt>
                <c:pt idx="8">
                  <c:v>71</c:v>
                </c:pt>
                <c:pt idx="9">
                  <c:v>72</c:v>
                </c:pt>
                <c:pt idx="10">
                  <c:v>73</c:v>
                </c:pt>
                <c:pt idx="11">
                  <c:v>74</c:v>
                </c:pt>
                <c:pt idx="12">
                  <c:v>75</c:v>
                </c:pt>
                <c:pt idx="13">
                  <c:v>76</c:v>
                </c:pt>
                <c:pt idx="14">
                  <c:v>77</c:v>
                </c:pt>
                <c:pt idx="15">
                  <c:v>78</c:v>
                </c:pt>
                <c:pt idx="16">
                  <c:v>79</c:v>
                </c:pt>
                <c:pt idx="17">
                  <c:v>80</c:v>
                </c:pt>
                <c:pt idx="18">
                  <c:v>81</c:v>
                </c:pt>
                <c:pt idx="19">
                  <c:v>82</c:v>
                </c:pt>
                <c:pt idx="20">
                  <c:v>83</c:v>
                </c:pt>
                <c:pt idx="21">
                  <c:v>84</c:v>
                </c:pt>
                <c:pt idx="22">
                  <c:v>85</c:v>
                </c:pt>
                <c:pt idx="23">
                  <c:v>86</c:v>
                </c:pt>
                <c:pt idx="24">
                  <c:v>87</c:v>
                </c:pt>
                <c:pt idx="25">
                  <c:v>88</c:v>
                </c:pt>
                <c:pt idx="26">
                  <c:v>89</c:v>
                </c:pt>
                <c:pt idx="27">
                  <c:v>90</c:v>
                </c:pt>
                <c:pt idx="28">
                  <c:v>91</c:v>
                </c:pt>
                <c:pt idx="29">
                  <c:v>92</c:v>
                </c:pt>
                <c:pt idx="30">
                  <c:v>93</c:v>
                </c:pt>
                <c:pt idx="31">
                  <c:v>94</c:v>
                </c:pt>
                <c:pt idx="32">
                  <c:v>95</c:v>
                </c:pt>
                <c:pt idx="33">
                  <c:v>96</c:v>
                </c:pt>
                <c:pt idx="34">
                  <c:v>97</c:v>
                </c:pt>
                <c:pt idx="35">
                  <c:v>98</c:v>
                </c:pt>
                <c:pt idx="36">
                  <c:v>99</c:v>
                </c:pt>
                <c:pt idx="37">
                  <c:v>100</c:v>
                </c:pt>
                <c:pt idx="38">
                  <c:v>101</c:v>
                </c:pt>
                <c:pt idx="39">
                  <c:v>102</c:v>
                </c:pt>
                <c:pt idx="40">
                  <c:v>103</c:v>
                </c:pt>
                <c:pt idx="41">
                  <c:v>104</c:v>
                </c:pt>
                <c:pt idx="42">
                  <c:v>105</c:v>
                </c:pt>
                <c:pt idx="43">
                  <c:v>106</c:v>
                </c:pt>
                <c:pt idx="44">
                  <c:v>107</c:v>
                </c:pt>
                <c:pt idx="45">
                  <c:v>108</c:v>
                </c:pt>
                <c:pt idx="46">
                  <c:v>109</c:v>
                </c:pt>
                <c:pt idx="47">
                  <c:v>110</c:v>
                </c:pt>
                <c:pt idx="48">
                  <c:v>111</c:v>
                </c:pt>
                <c:pt idx="49">
                  <c:v>112</c:v>
                </c:pt>
                <c:pt idx="50">
                  <c:v>113</c:v>
                </c:pt>
                <c:pt idx="51">
                  <c:v>114</c:v>
                </c:pt>
                <c:pt idx="52">
                  <c:v>115</c:v>
                </c:pt>
                <c:pt idx="53">
                  <c:v>116</c:v>
                </c:pt>
                <c:pt idx="54">
                  <c:v>117</c:v>
                </c:pt>
                <c:pt idx="55">
                  <c:v>118</c:v>
                </c:pt>
                <c:pt idx="56">
                  <c:v>119</c:v>
                </c:pt>
                <c:pt idx="57">
                  <c:v>120</c:v>
                </c:pt>
                <c:pt idx="58">
                  <c:v>121</c:v>
                </c:pt>
                <c:pt idx="59">
                  <c:v>122</c:v>
                </c:pt>
                <c:pt idx="60">
                  <c:v>123</c:v>
                </c:pt>
                <c:pt idx="61">
                  <c:v>124</c:v>
                </c:pt>
                <c:pt idx="62">
                  <c:v>125</c:v>
                </c:pt>
                <c:pt idx="63">
                  <c:v>126</c:v>
                </c:pt>
                <c:pt idx="64">
                  <c:v>127</c:v>
                </c:pt>
                <c:pt idx="65">
                  <c:v>128</c:v>
                </c:pt>
                <c:pt idx="66">
                  <c:v>129</c:v>
                </c:pt>
                <c:pt idx="67">
                  <c:v>130</c:v>
                </c:pt>
                <c:pt idx="68">
                  <c:v>131</c:v>
                </c:pt>
                <c:pt idx="69">
                  <c:v>132</c:v>
                </c:pt>
                <c:pt idx="70">
                  <c:v>133</c:v>
                </c:pt>
                <c:pt idx="71">
                  <c:v>134</c:v>
                </c:pt>
                <c:pt idx="72">
                  <c:v>135</c:v>
                </c:pt>
                <c:pt idx="73">
                  <c:v>136</c:v>
                </c:pt>
                <c:pt idx="74">
                  <c:v>137</c:v>
                </c:pt>
                <c:pt idx="75">
                  <c:v>138</c:v>
                </c:pt>
                <c:pt idx="76">
                  <c:v>139</c:v>
                </c:pt>
                <c:pt idx="77">
                  <c:v>140</c:v>
                </c:pt>
                <c:pt idx="78">
                  <c:v>141</c:v>
                </c:pt>
                <c:pt idx="79">
                  <c:v>142</c:v>
                </c:pt>
                <c:pt idx="80">
                  <c:v>143</c:v>
                </c:pt>
                <c:pt idx="81">
                  <c:v>144</c:v>
                </c:pt>
                <c:pt idx="82">
                  <c:v>145</c:v>
                </c:pt>
                <c:pt idx="83">
                  <c:v>146</c:v>
                </c:pt>
                <c:pt idx="84">
                  <c:v>147</c:v>
                </c:pt>
                <c:pt idx="85">
                  <c:v>148</c:v>
                </c:pt>
                <c:pt idx="86">
                  <c:v>149</c:v>
                </c:pt>
                <c:pt idx="87">
                  <c:v>150</c:v>
                </c:pt>
                <c:pt idx="88">
                  <c:v>151</c:v>
                </c:pt>
                <c:pt idx="89">
                  <c:v>152</c:v>
                </c:pt>
                <c:pt idx="90">
                  <c:v>153</c:v>
                </c:pt>
                <c:pt idx="91">
                  <c:v>154</c:v>
                </c:pt>
              </c:strCache>
            </c:strRef>
          </c:cat>
          <c:val>
            <c:numRef>
              <c:f>BASE_MASTER_V20!$BD$3:$BD$95</c:f>
              <c:numCache>
                <c:formatCode>General</c:formatCode>
                <c:ptCount val="92"/>
                <c:pt idx="0">
                  <c:v>-1</c:v>
                </c:pt>
                <c:pt idx="1">
                  <c:v>-0.19999999999999996</c:v>
                </c:pt>
                <c:pt idx="2">
                  <c:v>-1.2</c:v>
                </c:pt>
                <c:pt idx="3">
                  <c:v>-0.53999999999999992</c:v>
                </c:pt>
                <c:pt idx="4">
                  <c:v>0.32000000000000006</c:v>
                </c:pt>
                <c:pt idx="5">
                  <c:v>0.79</c:v>
                </c:pt>
                <c:pt idx="6">
                  <c:v>-0.20999999999999996</c:v>
                </c:pt>
                <c:pt idx="7">
                  <c:v>0.32000000000000006</c:v>
                </c:pt>
                <c:pt idx="8">
                  <c:v>-0.67999999999999994</c:v>
                </c:pt>
                <c:pt idx="9">
                  <c:v>-1.68</c:v>
                </c:pt>
                <c:pt idx="10">
                  <c:v>-0.51</c:v>
                </c:pt>
                <c:pt idx="11">
                  <c:v>0.65999999999999992</c:v>
                </c:pt>
                <c:pt idx="12">
                  <c:v>-0.34000000000000008</c:v>
                </c:pt>
                <c:pt idx="13">
                  <c:v>-1.34</c:v>
                </c:pt>
                <c:pt idx="14">
                  <c:v>-2.34</c:v>
                </c:pt>
                <c:pt idx="15">
                  <c:v>-1.65</c:v>
                </c:pt>
                <c:pt idx="16">
                  <c:v>-2.65</c:v>
                </c:pt>
                <c:pt idx="17">
                  <c:v>-2.15</c:v>
                </c:pt>
                <c:pt idx="18">
                  <c:v>-1.5499999999999998</c:v>
                </c:pt>
                <c:pt idx="19">
                  <c:v>-0.92999999999999983</c:v>
                </c:pt>
                <c:pt idx="20">
                  <c:v>-0.15999999999999981</c:v>
                </c:pt>
                <c:pt idx="21">
                  <c:v>1.3600000000000003</c:v>
                </c:pt>
                <c:pt idx="22">
                  <c:v>1.8600000000000003</c:v>
                </c:pt>
                <c:pt idx="23">
                  <c:v>0.86000000000000032</c:v>
                </c:pt>
                <c:pt idx="24">
                  <c:v>1.9000000000000004</c:v>
                </c:pt>
                <c:pt idx="25">
                  <c:v>2.7600000000000002</c:v>
                </c:pt>
                <c:pt idx="26">
                  <c:v>1.7600000000000002</c:v>
                </c:pt>
                <c:pt idx="27">
                  <c:v>0.76000000000000023</c:v>
                </c:pt>
                <c:pt idx="28">
                  <c:v>1.7500000000000002</c:v>
                </c:pt>
                <c:pt idx="29">
                  <c:v>2.4900000000000002</c:v>
                </c:pt>
                <c:pt idx="30">
                  <c:v>2.93</c:v>
                </c:pt>
                <c:pt idx="31">
                  <c:v>3.4800000000000004</c:v>
                </c:pt>
                <c:pt idx="32">
                  <c:v>3.99</c:v>
                </c:pt>
                <c:pt idx="33">
                  <c:v>2.99</c:v>
                </c:pt>
                <c:pt idx="34">
                  <c:v>3.87</c:v>
                </c:pt>
                <c:pt idx="35">
                  <c:v>2.87</c:v>
                </c:pt>
                <c:pt idx="36">
                  <c:v>1.87</c:v>
                </c:pt>
                <c:pt idx="37">
                  <c:v>2.7800000000000002</c:v>
                </c:pt>
                <c:pt idx="38">
                  <c:v>3.2600000000000002</c:v>
                </c:pt>
                <c:pt idx="39">
                  <c:v>2.2600000000000002</c:v>
                </c:pt>
                <c:pt idx="40">
                  <c:v>3.64</c:v>
                </c:pt>
                <c:pt idx="41">
                  <c:v>2.64</c:v>
                </c:pt>
                <c:pt idx="42">
                  <c:v>1.6400000000000001</c:v>
                </c:pt>
                <c:pt idx="43">
                  <c:v>2.42</c:v>
                </c:pt>
                <c:pt idx="44">
                  <c:v>3.36</c:v>
                </c:pt>
                <c:pt idx="45">
                  <c:v>4.2</c:v>
                </c:pt>
                <c:pt idx="46">
                  <c:v>3.2</c:v>
                </c:pt>
                <c:pt idx="47">
                  <c:v>3.87</c:v>
                </c:pt>
                <c:pt idx="48">
                  <c:v>5.52</c:v>
                </c:pt>
                <c:pt idx="49">
                  <c:v>4.5199999999999996</c:v>
                </c:pt>
                <c:pt idx="50">
                  <c:v>5.2299999999999995</c:v>
                </c:pt>
                <c:pt idx="51">
                  <c:v>6.27</c:v>
                </c:pt>
                <c:pt idx="52">
                  <c:v>5.27</c:v>
                </c:pt>
                <c:pt idx="53">
                  <c:v>6.35</c:v>
                </c:pt>
                <c:pt idx="54">
                  <c:v>7.72</c:v>
                </c:pt>
                <c:pt idx="55">
                  <c:v>8.1199999999999992</c:v>
                </c:pt>
                <c:pt idx="56">
                  <c:v>7.1199999999999992</c:v>
                </c:pt>
                <c:pt idx="57">
                  <c:v>6.1199999999999992</c:v>
                </c:pt>
                <c:pt idx="58">
                  <c:v>7.0099999999999989</c:v>
                </c:pt>
                <c:pt idx="59">
                  <c:v>7.6899999999999986</c:v>
                </c:pt>
                <c:pt idx="60">
                  <c:v>6.6899999999999986</c:v>
                </c:pt>
                <c:pt idx="61">
                  <c:v>5.6899999999999986</c:v>
                </c:pt>
                <c:pt idx="62">
                  <c:v>4.6899999999999986</c:v>
                </c:pt>
                <c:pt idx="63">
                  <c:v>3.6899999999999986</c:v>
                </c:pt>
                <c:pt idx="64">
                  <c:v>2.6899999999999986</c:v>
                </c:pt>
                <c:pt idx="65">
                  <c:v>3.6699999999999986</c:v>
                </c:pt>
                <c:pt idx="66">
                  <c:v>2.6699999999999986</c:v>
                </c:pt>
                <c:pt idx="67">
                  <c:v>3.9299999999999988</c:v>
                </c:pt>
                <c:pt idx="68">
                  <c:v>2.9299999999999988</c:v>
                </c:pt>
                <c:pt idx="69">
                  <c:v>3.8499999999999988</c:v>
                </c:pt>
                <c:pt idx="70">
                  <c:v>4.9299999999999988</c:v>
                </c:pt>
                <c:pt idx="71">
                  <c:v>3.9299999999999988</c:v>
                </c:pt>
                <c:pt idx="72">
                  <c:v>4.9399999999999986</c:v>
                </c:pt>
                <c:pt idx="73">
                  <c:v>5.6599999999999984</c:v>
                </c:pt>
                <c:pt idx="74">
                  <c:v>4.6599999999999984</c:v>
                </c:pt>
                <c:pt idx="75">
                  <c:v>6.3899999999999988</c:v>
                </c:pt>
                <c:pt idx="76">
                  <c:v>5.3899999999999988</c:v>
                </c:pt>
                <c:pt idx="77">
                  <c:v>4.3899999999999988</c:v>
                </c:pt>
                <c:pt idx="78">
                  <c:v>5.169999999999999</c:v>
                </c:pt>
                <c:pt idx="79">
                  <c:v>4.169999999999999</c:v>
                </c:pt>
                <c:pt idx="80">
                  <c:v>3.169999999999999</c:v>
                </c:pt>
                <c:pt idx="81">
                  <c:v>4.4499999999999993</c:v>
                </c:pt>
                <c:pt idx="82">
                  <c:v>6.129999999999999</c:v>
                </c:pt>
                <c:pt idx="83">
                  <c:v>5.129999999999999</c:v>
                </c:pt>
                <c:pt idx="84">
                  <c:v>4.129999999999999</c:v>
                </c:pt>
                <c:pt idx="85">
                  <c:v>4.5599999999999987</c:v>
                </c:pt>
                <c:pt idx="86">
                  <c:v>4.9899999999999984</c:v>
                </c:pt>
                <c:pt idx="87">
                  <c:v>5.7899999999999983</c:v>
                </c:pt>
                <c:pt idx="88">
                  <c:v>6.4199999999999982</c:v>
                </c:pt>
                <c:pt idx="89">
                  <c:v>5.4199999999999982</c:v>
                </c:pt>
                <c:pt idx="90">
                  <c:v>5.8999999999999986</c:v>
                </c:pt>
                <c:pt idx="91">
                  <c:v>6.6499999999999986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C-4A0F-9B34-127A61225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063423"/>
        <c:axId val="460965279"/>
      </c:lineChart>
      <c:catAx>
        <c:axId val="21150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965279"/>
        <c:crosses val="autoZero"/>
        <c:auto val="1"/>
        <c:lblAlgn val="ctr"/>
        <c:lblOffset val="100"/>
        <c:noMultiLvlLbl val="0"/>
      </c:catAx>
      <c:valAx>
        <c:axId val="46096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50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219075</xdr:colOff>
      <xdr:row>1</xdr:row>
      <xdr:rowOff>1</xdr:rowOff>
    </xdr:from>
    <xdr:to>
      <xdr:col>33</xdr:col>
      <xdr:colOff>933450</xdr:colOff>
      <xdr:row>5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t">
              <a:extLst>
                <a:ext uri="{FF2B5EF4-FFF2-40B4-BE49-F238E27FC236}">
                  <a16:creationId xmlns:a16="http://schemas.microsoft.com/office/drawing/2014/main" id="{5B8CD781-2275-A96D-6237-FEEC1D3DFA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12225" y="190500"/>
              <a:ext cx="15240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38</xdr:col>
      <xdr:colOff>228600</xdr:colOff>
      <xdr:row>6</xdr:row>
      <xdr:rowOff>161925</xdr:rowOff>
    </xdr:from>
    <xdr:to>
      <xdr:col>41</xdr:col>
      <xdr:colOff>228600</xdr:colOff>
      <xdr:row>20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dds_Ap">
              <a:extLst>
                <a:ext uri="{FF2B5EF4-FFF2-40B4-BE49-F238E27FC236}">
                  <a16:creationId xmlns:a16="http://schemas.microsoft.com/office/drawing/2014/main" id="{E505F4CD-1149-B209-1CC3-61DAA88AC0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dds_A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75075" y="1304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50</xdr:col>
      <xdr:colOff>304800</xdr:colOff>
      <xdr:row>1</xdr:row>
      <xdr:rowOff>19051</xdr:rowOff>
    </xdr:from>
    <xdr:to>
      <xdr:col>53</xdr:col>
      <xdr:colOff>304800</xdr:colOff>
      <xdr:row>5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t 1">
              <a:extLst>
                <a:ext uri="{FF2B5EF4-FFF2-40B4-BE49-F238E27FC236}">
                  <a16:creationId xmlns:a16="http://schemas.microsoft.com/office/drawing/2014/main" id="{AAF2F714-C655-13D4-1B72-22871B0179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70650" y="209551"/>
              <a:ext cx="18288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41</xdr:col>
      <xdr:colOff>566736</xdr:colOff>
      <xdr:row>6</xdr:row>
      <xdr:rowOff>176212</xdr:rowOff>
    </xdr:from>
    <xdr:to>
      <xdr:col>52</xdr:col>
      <xdr:colOff>495300</xdr:colOff>
      <xdr:row>29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5BBECC-3846-774F-CEE0-54BE38319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9525</xdr:colOff>
      <xdr:row>14</xdr:row>
      <xdr:rowOff>9525</xdr:rowOff>
    </xdr:from>
    <xdr:to>
      <xdr:col>27</xdr:col>
      <xdr:colOff>390525</xdr:colOff>
      <xdr:row>27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ata">
              <a:extLst>
                <a:ext uri="{FF2B5EF4-FFF2-40B4-BE49-F238E27FC236}">
                  <a16:creationId xmlns:a16="http://schemas.microsoft.com/office/drawing/2014/main" id="{63DCAD39-EF26-C1B5-F279-359611BE71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07300" y="2676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cisio" refreshedDate="46082.633963541666" createdVersion="8" refreshedVersion="8" minRefreshableVersion="3" recordCount="163" xr:uid="{4326F887-16D5-42D2-8F95-4C8422DD23C9}">
  <cacheSource type="worksheet">
    <worksheetSource name="_0_00_A_PAINEL_MASTER_V20_APOSTA_ROD"/>
  </cacheSource>
  <cacheFields count="26">
    <cacheField name="Índice" numFmtId="0">
      <sharedItems containsString="0" containsBlank="1" containsNumber="1" containsInteger="1" minValue="1" maxValue="154" count="15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m/>
      </sharedItems>
    </cacheField>
    <cacheField name="Data" numFmtId="14">
      <sharedItems containsSemiMixedTypes="0" containsNonDate="0" containsDate="1" containsString="0" minDate="2026-01-16T00:00:00" maxDate="2026-03-02T00:00:00" count="31">
        <d v="2026-01-16T00:00:00"/>
        <d v="2026-01-17T00:00:00"/>
        <d v="2026-01-18T00:00:00"/>
        <d v="2026-01-19T00:00:00"/>
        <d v="2026-01-22T00:00:00"/>
        <d v="2026-01-23T00:00:00"/>
        <d v="2026-01-24T00:00:00"/>
        <d v="2026-01-25T00:00:00"/>
        <d v="2026-01-26T00:00:00"/>
        <d v="2026-01-30T00:00:00"/>
        <d v="2026-01-31T00:00:00"/>
        <d v="2026-02-01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7T00:00:00"/>
        <d v="2026-02-20T00:00:00"/>
        <d v="2026-02-21T00:00:00"/>
        <d v="2026-02-22T00:00:00"/>
        <d v="2026-02-24T00:00:00"/>
        <d v="2026-02-25T00:00:00"/>
        <d v="2026-02-27T00:00:00"/>
        <d v="2026-02-28T00:00:00"/>
        <d v="2026-03-01T00:00:00"/>
        <d v="2026-02-23T00:00:00" u="1"/>
      </sharedItems>
      <fieldGroup par="25"/>
    </cacheField>
    <cacheField name="Hora_Jg" numFmtId="164">
      <sharedItems containsNonDate="0" containsDate="1" containsString="0" containsBlank="1" minDate="1899-12-30T09:00:00" maxDate="1899-12-30T17:30:00"/>
    </cacheField>
    <cacheField name="Liga" numFmtId="0">
      <sharedItems count="19">
        <s v="Franca_1"/>
        <s v="Inglaterra_2"/>
        <s v="Espanha_1"/>
        <s v="Espanha_2"/>
        <s v="Romenia_1"/>
        <s v="Alemanha_3"/>
        <s v="Italia_2"/>
        <s v="Holanda_1"/>
        <s v="Inglaterra_1"/>
        <s v="Belgica_1"/>
        <s v="Holanda_2"/>
        <s v="Inglaterra_3"/>
        <s v="Alemanha_2"/>
        <s v="Turquia_1"/>
        <s v="Alemanha_1"/>
        <s v="Italia_1"/>
        <s v="Franca_2"/>
        <s v="Rep_Tcheca_1"/>
        <s v="Portugal_1"/>
      </sharedItems>
    </cacheField>
    <cacheField name="rodada" numFmtId="0">
      <sharedItems containsSemiMixedTypes="0" containsString="0" containsNumber="1" containsInteger="1" minValue="18" maxValue="35"/>
    </cacheField>
    <cacheField name="casa" numFmtId="0">
      <sharedItems/>
    </cacheField>
    <cacheField name="fora" numFmtId="0">
      <sharedItems/>
    </cacheField>
    <cacheField name="coment" numFmtId="0">
      <sharedItems/>
    </cacheField>
    <cacheField name="Met" numFmtId="0">
      <sharedItems count="2">
        <s v="Back_Casa"/>
        <s v="Back_Fora"/>
      </sharedItems>
    </cacheField>
    <cacheField name="MVl_GOLC_AMB" numFmtId="0">
      <sharedItems containsSemiMixedTypes="0" containsString="0" containsNumber="1" minValue="0.32" maxValue="1.45"/>
    </cacheField>
    <cacheField name="MVl_GOLF_AMB" numFmtId="0">
      <sharedItems containsSemiMixedTypes="0" containsString="0" containsNumber="1" minValue="0.14000000000000001" maxValue="1.23"/>
    </cacheField>
    <cacheField name="%V_Ca" numFmtId="0">
      <sharedItems containsSemiMixedTypes="0" containsString="0" containsNumber="1" minValue="7.69" maxValue="87.5"/>
    </cacheField>
    <cacheField name="%E_Ca" numFmtId="0">
      <sharedItems containsSemiMixedTypes="0" containsString="0" containsNumber="1" minValue="0" maxValue="41.67"/>
    </cacheField>
    <cacheField name="%D_Ca" numFmtId="0">
      <sharedItems containsSemiMixedTypes="0" containsString="0" containsNumber="1" minValue="0" maxValue="83.33"/>
    </cacheField>
    <cacheField name="%V_Fo" numFmtId="0">
      <sharedItems containsSemiMixedTypes="0" containsString="0" containsNumber="1" minValue="0" maxValue="66.67"/>
    </cacheField>
    <cacheField name="%E_Fo" numFmtId="0">
      <sharedItems containsSemiMixedTypes="0" containsString="0" containsNumber="1" minValue="0" maxValue="54.55" count="38">
        <n v="44.44"/>
        <n v="28.57"/>
        <n v="33.33"/>
        <n v="30"/>
        <n v="36.36"/>
        <n v="27.27"/>
        <n v="30.77"/>
        <n v="18.18"/>
        <n v="20"/>
        <n v="22.22"/>
        <n v="38.46"/>
        <n v="12.5"/>
        <n v="40"/>
        <n v="11.11"/>
        <n v="35.71"/>
        <n v="0"/>
        <n v="7.69"/>
        <n v="25"/>
        <n v="9.09"/>
        <n v="8.33"/>
        <n v="21.43"/>
        <n v="14.29"/>
        <n v="7.14"/>
        <n v="6.67"/>
        <n v="16.670000000000002"/>
        <n v="23.08"/>
        <n v="13.33"/>
        <n v="54.55"/>
        <n v="41.67"/>
        <n v="10"/>
        <n v="18.75"/>
        <n v="43.75"/>
        <n v="31.25"/>
        <n v="37.5"/>
        <n v="29.41"/>
        <n v="17.649999999999999"/>
        <n v="41.18"/>
        <n v="15.38"/>
      </sharedItems>
      <fieldGroup base="15">
        <rangePr startNum="0" endNum="54.55" groupInterval="5"/>
        <groupItems count="13">
          <s v="&lt;0"/>
          <s v="0-5"/>
          <s v="5-10"/>
          <s v="10-15"/>
          <s v="15-20"/>
          <s v="20-25"/>
          <s v="25-30"/>
          <s v="30-35"/>
          <s v="35-40"/>
          <s v="40-45"/>
          <s v="45-50"/>
          <s v="50-55"/>
          <s v="&gt;55"/>
        </groupItems>
      </fieldGroup>
    </cacheField>
    <cacheField name="%D_Fo" numFmtId="0">
      <sharedItems containsSemiMixedTypes="0" containsString="0" containsNumber="1" minValue="16.670000000000002" maxValue="91.67"/>
    </cacheField>
    <cacheField name="Lado_Ap" numFmtId="0">
      <sharedItems containsSemiMixedTypes="0" containsString="0" containsNumber="1" containsInteger="1" minValue="1" maxValue="2"/>
    </cacheField>
    <cacheField name="odds_Ap" numFmtId="0">
      <sharedItems containsBlank="1" containsMixedTypes="1" containsNumber="1" minValue="1.4" maxValue="2.77" count="88">
        <n v="1.87"/>
        <n v="2.09"/>
        <n v="1.46"/>
        <n v="1.84"/>
        <n v="2.65"/>
        <n v="2.34"/>
        <n v="2.42"/>
        <n v="2.25"/>
        <n v="1.68"/>
        <n v="1.45"/>
        <n v="1.64"/>
        <n v="1.77"/>
        <n v="1.95"/>
        <n v="1.78"/>
        <n v="1.99"/>
        <n v="2.77"/>
        <n v="2.1800000000000002"/>
        <n v="2.7"/>
        <n v="1.6"/>
        <n v="1.4"/>
        <n v="1.8"/>
        <n v="1.44"/>
        <n v="1.58"/>
        <n v="1.71"/>
        <n v="1.57"/>
        <n v="1.94"/>
        <n v="1.79"/>
        <n v="1.52"/>
        <n v="2.0699999999999998"/>
        <n v="2.62"/>
        <n v="1.74"/>
        <n v="2.02"/>
        <n v="1.5"/>
        <n v="2.1"/>
        <n v="2.2400000000000002"/>
        <n v="1.89"/>
        <n v="1.91"/>
        <n v="2.2999999999999998"/>
        <n v="2.19"/>
        <n v="1.72"/>
        <n v="1.66"/>
        <n v="2.5"/>
        <n v="2.4"/>
        <n v="2.17"/>
        <n v="1.63"/>
        <n v="2.33"/>
        <n v="2.15"/>
        <n v="1.86"/>
        <n v="1.47"/>
        <n v="2.2000000000000002"/>
        <n v="1.53"/>
        <n v="1.81"/>
        <n v="1.69"/>
        <n v="1.61"/>
        <n v="1.82"/>
        <n v="2.52"/>
        <n v="1.54"/>
        <n v="2.04"/>
        <n v="2.23"/>
        <n v="1.55"/>
        <n v="1.51"/>
        <n v="1.88"/>
        <n v="1.48"/>
        <n v="2.38"/>
        <n v="1.76"/>
        <n v="1.67"/>
        <n v="2.35"/>
        <n v="2.08"/>
        <n v="2.37"/>
        <n v="1.85"/>
        <s v="1.74"/>
        <n v="1.93"/>
        <n v="1.98"/>
        <n v="2.06"/>
        <n v="2.2599999999999998"/>
        <n v="1.65"/>
        <n v="1.92"/>
        <n v="2.4700000000000002"/>
        <n v="2.0099999999999998"/>
        <n v="2.73"/>
        <n v="2.67"/>
        <n v="1.75"/>
        <n v="2.16"/>
        <n v="2.2799999999999998"/>
        <n v="2.68"/>
        <n v="1.43"/>
        <n v="1.42"/>
        <m/>
      </sharedItems>
    </cacheField>
    <cacheField name="Stake" numFmtId="0">
      <sharedItems containsSemiMixedTypes="0" containsString="0" containsNumber="1" containsInteger="1" minValue="1" maxValue="1"/>
    </cacheField>
    <cacheField name="P&amp;L" numFmtId="0">
      <sharedItems containsString="0" containsBlank="1" containsNumber="1" minValue="-1" maxValue="1.77"/>
    </cacheField>
    <cacheField name="gols_casa" numFmtId="0">
      <sharedItems containsString="0" containsBlank="1" containsNumber="1" containsInteger="1" minValue="0" maxValue="4"/>
    </cacheField>
    <cacheField name="gols_fora" numFmtId="0">
      <sharedItems containsString="0" containsBlank="1" containsNumber="1" containsInteger="1" minValue="0" maxValue="4"/>
    </cacheField>
    <cacheField name="rest" numFmtId="0">
      <sharedItems containsString="0" containsBlank="1" containsNumber="1" containsInteger="1" minValue="0" maxValue="2" count="4">
        <n v="1"/>
        <n v="0"/>
        <n v="2"/>
        <m/>
      </sharedItems>
    </cacheField>
    <cacheField name="Dias (Data)" numFmtId="0" databaseField="0">
      <fieldGroup base="1">
        <rangePr groupBy="days" startDate="2026-01-16T00:00:00" endDate="2026-03-02T00:00:00"/>
        <groupItems count="368">
          <s v="&lt;16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03/2026"/>
        </groupItems>
      </fieldGroup>
    </cacheField>
    <cacheField name="Meses (Data)" numFmtId="0" databaseField="0">
      <fieldGroup base="1">
        <rangePr groupBy="months" startDate="2026-01-16T00:00:00" endDate="2026-03-02T00:00:00"/>
        <groupItems count="14">
          <s v="&lt;16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3/2026"/>
        </groupItems>
      </fieldGroup>
    </cacheField>
  </cacheFields>
  <extLst>
    <ext xmlns:x14="http://schemas.microsoft.com/office/spreadsheetml/2009/9/main" uri="{725AE2AE-9491-48be-B2B4-4EB974FC3084}">
      <x14:pivotCacheDefinition pivotCacheId="13459496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x v="0"/>
    <m/>
    <x v="0"/>
    <n v="18"/>
    <s v="Monaco"/>
    <s v="Lorient"/>
    <s v="Odds=1.43/2.83"/>
    <x v="0"/>
    <n v="1.1499999999999999"/>
    <n v="0.14000000000000001"/>
    <n v="50"/>
    <n v="20"/>
    <n v="30"/>
    <n v="0"/>
    <x v="0"/>
    <n v="55.56"/>
    <n v="1"/>
    <x v="0"/>
    <n v="1"/>
    <n v="-1"/>
    <n v="1"/>
    <n v="3"/>
    <x v="0"/>
  </r>
  <r>
    <x v="1"/>
    <x v="1"/>
    <m/>
    <x v="1"/>
    <n v="27"/>
    <s v="Stoke City"/>
    <s v="Queens Park Rangers"/>
    <s v="Odds=1.43/2.83"/>
    <x v="0"/>
    <n v="0.8"/>
    <n v="0.59"/>
    <n v="46.15"/>
    <n v="23.08"/>
    <n v="30.77"/>
    <n v="28.57"/>
    <x v="1"/>
    <n v="42.86"/>
    <n v="1"/>
    <x v="1"/>
    <n v="1"/>
    <n v="-1"/>
    <n v="0"/>
    <n v="0"/>
    <x v="1"/>
  </r>
  <r>
    <x v="2"/>
    <x v="1"/>
    <m/>
    <x v="0"/>
    <n v="18"/>
    <s v="Lens"/>
    <s v="Auxerre"/>
    <s v="Odds=1.43/2.83"/>
    <x v="0"/>
    <n v="1.21"/>
    <n v="0.28999999999999998"/>
    <n v="77.78"/>
    <n v="11.11"/>
    <n v="11.11"/>
    <n v="0"/>
    <x v="2"/>
    <n v="66.67"/>
    <n v="1"/>
    <x v="2"/>
    <n v="1"/>
    <n v="0.46"/>
    <n v="1"/>
    <n v="0"/>
    <x v="0"/>
  </r>
  <r>
    <x v="3"/>
    <x v="1"/>
    <m/>
    <x v="2"/>
    <n v="20"/>
    <s v="CA Osasuna"/>
    <s v="Real Oviedo"/>
    <s v="Odds=1.43/2.83"/>
    <x v="0"/>
    <n v="0.83"/>
    <n v="0.32"/>
    <n v="50"/>
    <n v="30"/>
    <n v="20"/>
    <n v="10"/>
    <x v="3"/>
    <n v="60"/>
    <n v="1"/>
    <x v="3"/>
    <n v="1"/>
    <n v="0.86"/>
    <n v="3"/>
    <n v="2"/>
    <x v="0"/>
  </r>
  <r>
    <x v="4"/>
    <x v="1"/>
    <m/>
    <x v="3"/>
    <n v="22"/>
    <s v="Ceuta"/>
    <s v="Real Valladolid"/>
    <s v="Odds=1.43/2.83"/>
    <x v="0"/>
    <n v="0.72"/>
    <n v="0.41"/>
    <n v="63.64"/>
    <n v="18.18"/>
    <n v="18.18"/>
    <n v="27.27"/>
    <x v="4"/>
    <n v="36.36"/>
    <n v="1"/>
    <x v="4"/>
    <n v="1"/>
    <n v="-1"/>
    <n v="1"/>
    <n v="3"/>
    <x v="2"/>
  </r>
  <r>
    <x v="5"/>
    <x v="1"/>
    <m/>
    <x v="4"/>
    <n v="22"/>
    <s v="Rapid Bucureşti"/>
    <s v="Metaloglobus"/>
    <s v="Odds=1.43/2.83"/>
    <x v="0"/>
    <n v="1.1299999999999999"/>
    <n v="0.45"/>
    <n v="54.55"/>
    <n v="27.27"/>
    <n v="18.18"/>
    <n v="0"/>
    <x v="5"/>
    <n v="72.73"/>
    <n v="1"/>
    <x v="5"/>
    <n v="1"/>
    <n v="-1"/>
    <n v="0"/>
    <n v="0"/>
    <x v="1"/>
  </r>
  <r>
    <x v="6"/>
    <x v="1"/>
    <m/>
    <x v="1"/>
    <n v="27"/>
    <s v="Oxford United"/>
    <s v="Bristol City"/>
    <s v="Odds=1.73/2.93"/>
    <x v="1"/>
    <n v="0.59"/>
    <n v="0.71"/>
    <n v="23.08"/>
    <n v="38.46"/>
    <n v="38.46"/>
    <n v="38.46"/>
    <x v="6"/>
    <n v="30.77"/>
    <n v="2"/>
    <x v="6"/>
    <n v="1"/>
    <n v="1.42"/>
    <n v="0"/>
    <n v="3"/>
    <x v="2"/>
  </r>
  <r>
    <x v="7"/>
    <x v="1"/>
    <m/>
    <x v="5"/>
    <n v="20"/>
    <s v="Alemannia Aachen"/>
    <s v="Osnabrück"/>
    <s v="Odds=1.73/2.93"/>
    <x v="1"/>
    <n v="0.53"/>
    <n v="1.1399999999999999"/>
    <n v="20"/>
    <n v="10"/>
    <n v="70"/>
    <n v="50"/>
    <x v="3"/>
    <n v="20"/>
    <n v="2"/>
    <x v="7"/>
    <n v="1"/>
    <n v="1.25"/>
    <n v="1"/>
    <n v="2"/>
    <x v="2"/>
  </r>
  <r>
    <x v="8"/>
    <x v="1"/>
    <m/>
    <x v="6"/>
    <n v="20"/>
    <s v="Reggiana"/>
    <s v="Cesena"/>
    <s v="Odds=1.73/2.93"/>
    <x v="1"/>
    <n v="0.7"/>
    <n v="0.62"/>
    <n v="30"/>
    <n v="40"/>
    <n v="30"/>
    <n v="45.45"/>
    <x v="7"/>
    <n v="36.36"/>
    <n v="2"/>
    <x v="8"/>
    <n v="1"/>
    <n v="-1"/>
    <n v="0"/>
    <n v="1"/>
    <x v="2"/>
  </r>
  <r>
    <x v="9"/>
    <x v="1"/>
    <m/>
    <x v="7"/>
    <n v="19"/>
    <s v="PEC Zwolle"/>
    <s v="AZ"/>
    <s v="Odds=1.73/2.93"/>
    <x v="1"/>
    <n v="0.56999999999999995"/>
    <n v="0.94"/>
    <n v="44.44"/>
    <n v="22.22"/>
    <n v="33.33"/>
    <n v="40"/>
    <x v="8"/>
    <n v="40"/>
    <n v="2"/>
    <x v="9"/>
    <n v="1"/>
    <n v="0.45"/>
    <n v="2"/>
    <n v="1"/>
    <x v="0"/>
  </r>
  <r>
    <x v="10"/>
    <x v="2"/>
    <m/>
    <x v="8"/>
    <n v="22"/>
    <s v="Aston Villa"/>
    <s v="Everton"/>
    <s v="Odds=1.43/2.83"/>
    <x v="0"/>
    <n v="1.05"/>
    <n v="0.49"/>
    <n v="72.73"/>
    <n v="18.18"/>
    <n v="9.09"/>
    <n v="36.36"/>
    <x v="5"/>
    <n v="36.36"/>
    <n v="1"/>
    <x v="10"/>
    <n v="1"/>
    <n v="-1"/>
    <n v="1"/>
    <n v="1"/>
    <x v="1"/>
  </r>
  <r>
    <x v="11"/>
    <x v="2"/>
    <m/>
    <x v="0"/>
    <n v="18"/>
    <s v="Strasbourg"/>
    <s v="Metz"/>
    <s v="Odds=1.43/2.83"/>
    <x v="0"/>
    <n v="0.98"/>
    <n v="0.7"/>
    <n v="55.56"/>
    <n v="22.22"/>
    <n v="22.22"/>
    <n v="10"/>
    <x v="8"/>
    <n v="70"/>
    <n v="1"/>
    <x v="10"/>
    <n v="1"/>
    <n v="0.64"/>
    <n v="2"/>
    <n v="1"/>
    <x v="0"/>
  </r>
  <r>
    <x v="12"/>
    <x v="2"/>
    <m/>
    <x v="0"/>
    <n v="18"/>
    <s v="Rennes"/>
    <s v="Le Havre"/>
    <s v="Odds=1.43/2.83"/>
    <x v="0"/>
    <n v="1.45"/>
    <n v="0.27"/>
    <n v="55.56"/>
    <n v="33.33"/>
    <n v="11.11"/>
    <n v="11.11"/>
    <x v="2"/>
    <n v="55.56"/>
    <n v="1"/>
    <x v="11"/>
    <n v="1"/>
    <n v="0.77"/>
    <n v="1"/>
    <n v="0"/>
    <x v="0"/>
  </r>
  <r>
    <x v="13"/>
    <x v="2"/>
    <m/>
    <x v="0"/>
    <n v="18"/>
    <s v="Olympique Lyonnais"/>
    <s v="Brest"/>
    <s v="Odds=1.43/2.83"/>
    <x v="0"/>
    <n v="1.01"/>
    <n v="0.64"/>
    <n v="66.67"/>
    <n v="11.11"/>
    <n v="22.22"/>
    <n v="22.22"/>
    <x v="9"/>
    <n v="55.56"/>
    <n v="1"/>
    <x v="8"/>
    <n v="1"/>
    <n v="0.68"/>
    <n v="2"/>
    <n v="1"/>
    <x v="0"/>
  </r>
  <r>
    <x v="14"/>
    <x v="2"/>
    <m/>
    <x v="9"/>
    <n v="21"/>
    <s v="Sint-Truiden"/>
    <s v="OH Leuven"/>
    <s v="Odds=1.43/2.83"/>
    <x v="0"/>
    <n v="1.01"/>
    <n v="0.4"/>
    <n v="63.64"/>
    <n v="18.18"/>
    <n v="18.18"/>
    <n v="27.27"/>
    <x v="5"/>
    <n v="45.45"/>
    <n v="1"/>
    <x v="11"/>
    <n v="1"/>
    <n v="0.77"/>
    <n v="1"/>
    <n v="0"/>
    <x v="0"/>
  </r>
  <r>
    <x v="15"/>
    <x v="3"/>
    <m/>
    <x v="10"/>
    <n v="23"/>
    <s v="Ajax II"/>
    <s v="Roda JC"/>
    <s v="Odds=1.73/2.93"/>
    <x v="1"/>
    <n v="0.88"/>
    <n v="1.0900000000000001"/>
    <n v="16.670000000000002"/>
    <n v="41.67"/>
    <n v="41.67"/>
    <n v="50"/>
    <x v="2"/>
    <n v="16.670000000000002"/>
    <n v="2"/>
    <x v="12"/>
    <n v="1"/>
    <n v="-1"/>
    <n v="2"/>
    <n v="2"/>
    <x v="1"/>
  </r>
  <r>
    <x v="16"/>
    <x v="4"/>
    <m/>
    <x v="11"/>
    <n v="28"/>
    <s v="Lincoln City"/>
    <s v="Burton Albion"/>
    <s v="Odds=1.43/2.83"/>
    <x v="0"/>
    <n v="1.1000000000000001"/>
    <n v="0.49"/>
    <n v="69.23"/>
    <n v="23.08"/>
    <n v="7.69"/>
    <n v="23.08"/>
    <x v="10"/>
    <n v="38.46"/>
    <n v="1"/>
    <x v="9"/>
    <n v="1"/>
    <n v="0.45"/>
    <n v="2"/>
    <n v="1"/>
    <x v="0"/>
  </r>
  <r>
    <x v="17"/>
    <x v="5"/>
    <m/>
    <x v="4"/>
    <n v="23"/>
    <s v="Metaloglobus"/>
    <s v="Argeș"/>
    <s v="Odds=1.73/2.93"/>
    <x v="1"/>
    <n v="0.47"/>
    <n v="0.63"/>
    <n v="18.18"/>
    <n v="27.27"/>
    <n v="54.55"/>
    <n v="45.45"/>
    <x v="7"/>
    <n v="36.36"/>
    <n v="2"/>
    <x v="13"/>
    <n v="1"/>
    <n v="0.78"/>
    <n v="0"/>
    <n v="2"/>
    <x v="2"/>
  </r>
  <r>
    <x v="18"/>
    <x v="5"/>
    <m/>
    <x v="12"/>
    <n v="19"/>
    <s v="Darmstadt 98"/>
    <s v="Nürnberg"/>
    <s v="Odds=1.43/2.83"/>
    <x v="0"/>
    <n v="1.27"/>
    <n v="0.63"/>
    <n v="66.67"/>
    <n v="33.33"/>
    <n v="0"/>
    <n v="25"/>
    <x v="11"/>
    <n v="62.5"/>
    <n v="1"/>
    <x v="14"/>
    <n v="1"/>
    <n v="0.99"/>
    <n v="2"/>
    <n v="0"/>
    <x v="0"/>
  </r>
  <r>
    <x v="19"/>
    <x v="5"/>
    <m/>
    <x v="5"/>
    <n v="21"/>
    <s v="Viktoria Köln"/>
    <s v="Saarbrucken"/>
    <s v="Odds=1.43/2.83"/>
    <x v="0"/>
    <n v="0.94"/>
    <n v="0.7"/>
    <n v="50"/>
    <n v="20"/>
    <n v="30"/>
    <n v="10"/>
    <x v="12"/>
    <n v="50"/>
    <n v="1"/>
    <x v="15"/>
    <n v="1"/>
    <n v="1.77"/>
    <n v="2"/>
    <n v="0"/>
    <x v="0"/>
  </r>
  <r>
    <x v="20"/>
    <x v="6"/>
    <m/>
    <x v="13"/>
    <n v="19"/>
    <s v="Kayserispor"/>
    <s v="İstanbul Başakşehir"/>
    <s v="Odds=1.73/2.93"/>
    <x v="1"/>
    <n v="0.45"/>
    <n v="0.91"/>
    <n v="12.5"/>
    <n v="37.5"/>
    <n v="50"/>
    <n v="44.44"/>
    <x v="13"/>
    <n v="44.44"/>
    <n v="2"/>
    <x v="16"/>
    <n v="1"/>
    <n v="1.18"/>
    <n v="0"/>
    <n v="3"/>
    <x v="2"/>
  </r>
  <r>
    <x v="21"/>
    <x v="6"/>
    <m/>
    <x v="8"/>
    <n v="23"/>
    <s v="Burnley"/>
    <s v="Tottenham Hotspur"/>
    <s v="Odds=1.73/2.93"/>
    <x v="1"/>
    <n v="0.48"/>
    <n v="0.98"/>
    <n v="18.18"/>
    <n v="27.27"/>
    <n v="54.55"/>
    <n v="45.45"/>
    <x v="5"/>
    <n v="27.27"/>
    <n v="2"/>
    <x v="1"/>
    <n v="1"/>
    <n v="-1"/>
    <n v="2"/>
    <n v="2"/>
    <x v="1"/>
  </r>
  <r>
    <x v="22"/>
    <x v="6"/>
    <m/>
    <x v="3"/>
    <n v="23"/>
    <s v="Cádiz"/>
    <s v="Granada CF"/>
    <s v="Odds=1.43/2.83"/>
    <x v="0"/>
    <n v="0.67"/>
    <n v="0.54"/>
    <n v="54.55"/>
    <n v="18.18"/>
    <n v="27.27"/>
    <n v="20"/>
    <x v="12"/>
    <n v="40"/>
    <n v="1"/>
    <x v="17"/>
    <n v="1"/>
    <n v="-1"/>
    <n v="1"/>
    <n v="2"/>
    <x v="2"/>
  </r>
  <r>
    <x v="23"/>
    <x v="6"/>
    <m/>
    <x v="3"/>
    <n v="23"/>
    <s v="Sporting Gijón"/>
    <s v="Mirandés"/>
    <s v="Odds=1.43/2.83"/>
    <x v="0"/>
    <n v="0.74"/>
    <n v="0.65"/>
    <n v="45.45"/>
    <n v="27.27"/>
    <n v="27.27"/>
    <n v="18.18"/>
    <x v="5"/>
    <n v="54.55"/>
    <n v="1"/>
    <x v="18"/>
    <n v="1"/>
    <n v="0.6"/>
    <n v="3"/>
    <n v="0"/>
    <x v="0"/>
  </r>
  <r>
    <x v="24"/>
    <x v="6"/>
    <m/>
    <x v="6"/>
    <n v="21"/>
    <s v="Monza"/>
    <s v="Pescara"/>
    <s v="Odds=1.43/2.83"/>
    <x v="0"/>
    <n v="0.81"/>
    <n v="0.63"/>
    <n v="70"/>
    <n v="20"/>
    <n v="10"/>
    <n v="0"/>
    <x v="0"/>
    <n v="55.56"/>
    <n v="1"/>
    <x v="19"/>
    <n v="1"/>
    <n v="0.4"/>
    <n v="3"/>
    <n v="0"/>
    <x v="0"/>
  </r>
  <r>
    <x v="25"/>
    <x v="6"/>
    <m/>
    <x v="5"/>
    <n v="21"/>
    <s v="MSV Duisburg"/>
    <s v="Jahn Regensburg"/>
    <s v="Odds=1.43/2.83"/>
    <x v="0"/>
    <n v="1.18"/>
    <n v="0.7"/>
    <n v="66.67"/>
    <n v="33.33"/>
    <n v="0"/>
    <n v="20"/>
    <x v="8"/>
    <n v="60"/>
    <n v="1"/>
    <x v="20"/>
    <n v="1"/>
    <n v="0.8"/>
    <n v="2"/>
    <n v="0"/>
    <x v="0"/>
  </r>
  <r>
    <x v="26"/>
    <x v="6"/>
    <m/>
    <x v="5"/>
    <n v="21"/>
    <s v="Rot-Weiss Essen"/>
    <s v="Havelse"/>
    <s v="Odds=1.43/2.83"/>
    <x v="0"/>
    <n v="1.18"/>
    <n v="0.9"/>
    <n v="50"/>
    <n v="30"/>
    <n v="20"/>
    <n v="11.11"/>
    <x v="2"/>
    <n v="55.56"/>
    <n v="1"/>
    <x v="21"/>
    <n v="1"/>
    <n v="0.44"/>
    <n v="4"/>
    <n v="1"/>
    <x v="0"/>
  </r>
  <r>
    <x v="27"/>
    <x v="6"/>
    <m/>
    <x v="1"/>
    <n v="29"/>
    <s v="Millwall"/>
    <s v="Charlton Athletic"/>
    <s v="Odds=1.43/2.83"/>
    <x v="0"/>
    <n v="0.65"/>
    <n v="0.43"/>
    <n v="57.14"/>
    <n v="14.29"/>
    <n v="28.57"/>
    <n v="14.29"/>
    <x v="14"/>
    <n v="50"/>
    <n v="1"/>
    <x v="20"/>
    <n v="1"/>
    <n v="0.8"/>
    <n v="4"/>
    <n v="0"/>
    <x v="0"/>
  </r>
  <r>
    <x v="28"/>
    <x v="6"/>
    <m/>
    <x v="6"/>
    <n v="21"/>
    <s v="Frosinone"/>
    <s v="Reggiana"/>
    <s v="Odds=1.43/2.83"/>
    <x v="0"/>
    <n v="1.21"/>
    <n v="0.56999999999999995"/>
    <n v="66.67"/>
    <n v="22.22"/>
    <n v="11.11"/>
    <n v="20"/>
    <x v="8"/>
    <n v="60"/>
    <n v="1"/>
    <x v="22"/>
    <n v="1"/>
    <n v="0.57999999999999996"/>
    <n v="1"/>
    <n v="0"/>
    <x v="0"/>
  </r>
  <r>
    <x v="29"/>
    <x v="6"/>
    <m/>
    <x v="12"/>
    <n v="19"/>
    <s v="Hannover 96"/>
    <s v="Fortuna Düsseldorf"/>
    <s v="Odds=1.43/2.83"/>
    <x v="0"/>
    <n v="0.98"/>
    <n v="0.56000000000000005"/>
    <n v="50"/>
    <n v="12.5"/>
    <n v="37.5"/>
    <n v="37.5"/>
    <x v="15"/>
    <n v="62.5"/>
    <n v="1"/>
    <x v="23"/>
    <n v="1"/>
    <n v="0.71"/>
    <n v="2"/>
    <n v="1"/>
    <x v="0"/>
  </r>
  <r>
    <x v="30"/>
    <x v="6"/>
    <m/>
    <x v="14"/>
    <n v="19"/>
    <s v="Bayer Leverkusen"/>
    <s v="Werder Bremen"/>
    <s v="Odds=1.43/2.83"/>
    <x v="0"/>
    <n v="1.31"/>
    <n v="0.73"/>
    <n v="55.56"/>
    <n v="11.11"/>
    <n v="33.33"/>
    <n v="11.11"/>
    <x v="2"/>
    <n v="55.56"/>
    <n v="1"/>
    <x v="24"/>
    <n v="1"/>
    <n v="0.56999999999999995"/>
    <n v="1"/>
    <n v="0"/>
    <x v="0"/>
  </r>
  <r>
    <x v="31"/>
    <x v="6"/>
    <m/>
    <x v="1"/>
    <n v="29"/>
    <s v="Leicester City"/>
    <s v="Oxford United"/>
    <s v="Odds=1.43/2.83"/>
    <x v="0"/>
    <n v="0.79"/>
    <n v="0.44"/>
    <n v="46.15"/>
    <n v="30.77"/>
    <n v="23.08"/>
    <n v="14.29"/>
    <x v="1"/>
    <n v="57.14"/>
    <n v="1"/>
    <x v="25"/>
    <n v="1"/>
    <n v="-1"/>
    <n v="1"/>
    <n v="2"/>
    <x v="2"/>
  </r>
  <r>
    <x v="32"/>
    <x v="6"/>
    <m/>
    <x v="0"/>
    <n v="19"/>
    <s v="Rennes"/>
    <s v="Lorient"/>
    <s v="Odds=1.43/2.83"/>
    <x v="0"/>
    <n v="1.35"/>
    <n v="0.33"/>
    <n v="55.56"/>
    <n v="33.33"/>
    <n v="11.11"/>
    <n v="11.11"/>
    <x v="2"/>
    <n v="55.56"/>
    <n v="1"/>
    <x v="26"/>
    <n v="1"/>
    <n v="-1"/>
    <n v="0"/>
    <n v="2"/>
    <x v="2"/>
  </r>
  <r>
    <x v="33"/>
    <x v="6"/>
    <m/>
    <x v="11"/>
    <n v="28"/>
    <s v="Bolton Wanderers"/>
    <s v="Leyton Orient"/>
    <s v="Odds=1.43/2.83"/>
    <x v="0"/>
    <n v="0.9"/>
    <n v="0.72"/>
    <n v="61.54"/>
    <n v="30.77"/>
    <n v="7.69"/>
    <n v="23.08"/>
    <x v="16"/>
    <n v="69.23"/>
    <n v="1"/>
    <x v="27"/>
    <n v="1"/>
    <n v="0.52"/>
    <n v="2"/>
    <n v="1"/>
    <x v="0"/>
  </r>
  <r>
    <x v="34"/>
    <x v="6"/>
    <m/>
    <x v="11"/>
    <n v="28"/>
    <s v="Wycombe Wanderers"/>
    <s v="Peterborough United"/>
    <s v="Odds=1.43/2.83"/>
    <x v="0"/>
    <n v="1.03"/>
    <n v="0.63"/>
    <n v="53.85"/>
    <n v="23.08"/>
    <n v="23.08"/>
    <n v="38.46"/>
    <x v="16"/>
    <n v="53.85"/>
    <n v="1"/>
    <x v="28"/>
    <n v="1"/>
    <n v="-1"/>
    <n v="0"/>
    <n v="2"/>
    <x v="2"/>
  </r>
  <r>
    <x v="35"/>
    <x v="7"/>
    <m/>
    <x v="15"/>
    <n v="22"/>
    <s v="Genoa"/>
    <s v="Bologna"/>
    <s v="Odds=1.73/2.93"/>
    <x v="1"/>
    <n v="0.38"/>
    <n v="0.85"/>
    <n v="18.18"/>
    <n v="36.36"/>
    <n v="45.45"/>
    <n v="36.36"/>
    <x v="4"/>
    <n v="27.27"/>
    <n v="2"/>
    <x v="29"/>
    <n v="1"/>
    <n v="-1"/>
    <n v="3"/>
    <n v="2"/>
    <x v="0"/>
  </r>
  <r>
    <x v="36"/>
    <x v="7"/>
    <m/>
    <x v="12"/>
    <n v="19"/>
    <s v="Paderborn"/>
    <s v="Preußen Münster"/>
    <s v="Odds=1.43/2.83"/>
    <x v="0"/>
    <n v="1.06"/>
    <n v="0.62"/>
    <n v="55.56"/>
    <n v="11.11"/>
    <n v="33.33"/>
    <n v="25"/>
    <x v="15"/>
    <n v="75"/>
    <n v="1"/>
    <x v="30"/>
    <n v="1"/>
    <n v="0.74"/>
    <n v="2"/>
    <n v="1"/>
    <x v="0"/>
  </r>
  <r>
    <x v="37"/>
    <x v="7"/>
    <m/>
    <x v="12"/>
    <n v="19"/>
    <s v="Schalke 04"/>
    <s v="Kaiserslautern"/>
    <s v="Odds=1.43/2.83"/>
    <x v="0"/>
    <n v="0.78"/>
    <n v="0.66"/>
    <n v="87.5"/>
    <n v="0"/>
    <n v="12.5"/>
    <n v="25"/>
    <x v="17"/>
    <n v="50"/>
    <n v="1"/>
    <x v="31"/>
    <n v="1"/>
    <n v="-1"/>
    <n v="2"/>
    <n v="2"/>
    <x v="1"/>
  </r>
  <r>
    <x v="38"/>
    <x v="7"/>
    <m/>
    <x v="9"/>
    <n v="22"/>
    <s v="RSC Anderlecht"/>
    <s v="FCV Dender EH"/>
    <s v="Odds=1.43/2.83"/>
    <x v="0"/>
    <n v="1"/>
    <n v="0.56000000000000005"/>
    <n v="63.64"/>
    <n v="18.18"/>
    <n v="18.18"/>
    <n v="20"/>
    <x v="3"/>
    <n v="50"/>
    <n v="1"/>
    <x v="32"/>
    <n v="1"/>
    <n v="-1"/>
    <n v="0"/>
    <n v="0"/>
    <x v="1"/>
  </r>
  <r>
    <x v="39"/>
    <x v="7"/>
    <m/>
    <x v="0"/>
    <n v="19"/>
    <s v="Lille"/>
    <s v="Strasbourg"/>
    <s v="Odds=1.43/2.83"/>
    <x v="0"/>
    <n v="0.99"/>
    <n v="0.81"/>
    <n v="66.67"/>
    <n v="11.11"/>
    <n v="22.22"/>
    <n v="22.22"/>
    <x v="9"/>
    <n v="55.56"/>
    <n v="1"/>
    <x v="33"/>
    <n v="1"/>
    <n v="-1"/>
    <n v="1"/>
    <n v="4"/>
    <x v="2"/>
  </r>
  <r>
    <x v="40"/>
    <x v="8"/>
    <m/>
    <x v="3"/>
    <n v="23"/>
    <s v="Ceuta"/>
    <s v="Cultural y Deportiva Leonesa"/>
    <s v="Odds=1.43/2.83"/>
    <x v="0"/>
    <n v="0.66"/>
    <n v="0.74"/>
    <n v="63.64"/>
    <n v="9.09"/>
    <n v="27.27"/>
    <n v="45.45"/>
    <x v="18"/>
    <n v="45.45"/>
    <n v="1"/>
    <x v="33"/>
    <n v="1"/>
    <n v="1.1000000000000001"/>
    <n v="2"/>
    <n v="1"/>
    <x v="0"/>
  </r>
  <r>
    <x v="41"/>
    <x v="8"/>
    <m/>
    <x v="1"/>
    <n v="29"/>
    <s v="Norwich City"/>
    <s v="Coventry City"/>
    <s v="Odds=1.73/2.93"/>
    <x v="1"/>
    <n v="0.55000000000000004"/>
    <n v="1.21"/>
    <n v="23.08"/>
    <n v="7.69"/>
    <n v="69.23"/>
    <n v="42.86"/>
    <x v="14"/>
    <n v="21.43"/>
    <n v="2"/>
    <x v="34"/>
    <n v="1"/>
    <n v="-1"/>
    <n v="2"/>
    <n v="1"/>
    <x v="0"/>
  </r>
  <r>
    <x v="42"/>
    <x v="9"/>
    <d v="1899-12-30T14:00:00"/>
    <x v="13"/>
    <n v="20"/>
    <s v="Antalyaspor"/>
    <s v="Trabzonspor"/>
    <s v="Odds=1.73/2.93"/>
    <x v="1"/>
    <n v="0.68"/>
    <n v="1.19"/>
    <n v="22.22"/>
    <n v="11.11"/>
    <n v="66.67"/>
    <n v="66.67"/>
    <x v="13"/>
    <n v="22.22"/>
    <n v="2"/>
    <x v="35"/>
    <n v="1"/>
    <n v="-1"/>
    <n v="1"/>
    <n v="1"/>
    <x v="1"/>
  </r>
  <r>
    <x v="43"/>
    <x v="9"/>
    <d v="1899-12-30T14:30:00"/>
    <x v="12"/>
    <n v="20"/>
    <s v="Magdeburg"/>
    <s v="Hannover 96"/>
    <s v="Odds=1.73/2.93"/>
    <x v="1"/>
    <n v="0.98"/>
    <n v="1.22"/>
    <n v="22.22"/>
    <n v="11.11"/>
    <n v="66.67"/>
    <n v="40"/>
    <x v="12"/>
    <n v="20"/>
    <n v="2"/>
    <x v="29"/>
    <n v="1"/>
    <n v="1.62"/>
    <n v="1"/>
    <n v="2"/>
    <x v="2"/>
  </r>
  <r>
    <x v="44"/>
    <x v="9"/>
    <d v="1899-12-30T14:30:00"/>
    <x v="12"/>
    <n v="20"/>
    <s v="Nürnberg"/>
    <s v="Preußen Münster"/>
    <s v="Odds=1.43/2.83"/>
    <x v="0"/>
    <n v="0.89"/>
    <n v="0.61"/>
    <n v="50"/>
    <n v="30"/>
    <n v="20"/>
    <n v="22.22"/>
    <x v="15"/>
    <n v="77.78"/>
    <n v="1"/>
    <x v="36"/>
    <n v="1"/>
    <n v="-1"/>
    <n v="1"/>
    <n v="1"/>
    <x v="1"/>
  </r>
  <r>
    <x v="45"/>
    <x v="9"/>
    <d v="1899-12-30T16:00:00"/>
    <x v="10"/>
    <n v="25"/>
    <s v="Den Bosch"/>
    <s v="Emmen"/>
    <s v="Odds=1.43/2.83"/>
    <x v="0"/>
    <n v="1.44"/>
    <n v="0.7"/>
    <n v="50"/>
    <n v="16.670000000000002"/>
    <n v="33.33"/>
    <n v="25"/>
    <x v="19"/>
    <n v="66.67"/>
    <n v="1"/>
    <x v="14"/>
    <n v="1"/>
    <n v="-1"/>
    <n v="1"/>
    <n v="1"/>
    <x v="1"/>
  </r>
  <r>
    <x v="46"/>
    <x v="10"/>
    <d v="1899-12-30T09:30:00"/>
    <x v="11"/>
    <n v="30"/>
    <s v="Bradford City"/>
    <s v="Doncaster Rovers"/>
    <s v="Odds=1.43/2.83"/>
    <x v="0"/>
    <n v="0.84"/>
    <n v="0.46"/>
    <n v="64.290000000000006"/>
    <n v="21.43"/>
    <n v="14.29"/>
    <n v="21.43"/>
    <x v="20"/>
    <n v="57.14"/>
    <n v="1"/>
    <x v="29"/>
    <n v="1"/>
    <n v="1.62"/>
    <n v="0"/>
    <n v="1"/>
    <x v="2"/>
  </r>
  <r>
    <x v="47"/>
    <x v="10"/>
    <d v="1899-12-30T10:00:00"/>
    <x v="5"/>
    <n v="22"/>
    <s v="Viktoria Köln"/>
    <s v="Waldhof Mannheim"/>
    <s v="Odds=1.43/2.83"/>
    <x v="0"/>
    <n v="0.97"/>
    <n v="0.96"/>
    <n v="54.55"/>
    <n v="18.18"/>
    <n v="27.27"/>
    <n v="40"/>
    <x v="15"/>
    <n v="60"/>
    <n v="1"/>
    <x v="37"/>
    <n v="1"/>
    <n v="-1"/>
    <n v="1"/>
    <n v="3"/>
    <x v="2"/>
  </r>
  <r>
    <x v="48"/>
    <x v="10"/>
    <d v="1899-12-30T10:00:00"/>
    <x v="16"/>
    <n v="21"/>
    <s v="Dunkerque"/>
    <s v="Annecy"/>
    <s v="Odds=1.43/2.83"/>
    <x v="0"/>
    <n v="1.1599999999999999"/>
    <n v="0.56999999999999995"/>
    <n v="50"/>
    <n v="30"/>
    <n v="20"/>
    <n v="40"/>
    <x v="15"/>
    <n v="60"/>
    <n v="1"/>
    <x v="28"/>
    <n v="1"/>
    <n v="-1"/>
    <n v="0"/>
    <n v="1"/>
    <x v="2"/>
  </r>
  <r>
    <x v="49"/>
    <x v="10"/>
    <d v="1899-12-30T11:00:00"/>
    <x v="6"/>
    <n v="22"/>
    <s v="Avellino"/>
    <s v="Cesena"/>
    <s v="Odds=1.73/2.93"/>
    <x v="1"/>
    <n v="0.71"/>
    <n v="0.65"/>
    <n v="40"/>
    <n v="30"/>
    <n v="30"/>
    <n v="54.55"/>
    <x v="18"/>
    <n v="36.36"/>
    <n v="2"/>
    <x v="4"/>
    <n v="1"/>
    <n v="-1"/>
    <n v="2"/>
    <n v="1"/>
    <x v="0"/>
  </r>
  <r>
    <x v="50"/>
    <x v="10"/>
    <d v="1899-12-30T12:00:00"/>
    <x v="11"/>
    <n v="30"/>
    <s v="Wigan Athletic"/>
    <s v="Lincoln City"/>
    <s v="Odds=1.73/2.93"/>
    <x v="1"/>
    <n v="0.46"/>
    <n v="0.62"/>
    <n v="38.46"/>
    <n v="30.77"/>
    <n v="30.77"/>
    <n v="35.71"/>
    <x v="14"/>
    <n v="28.57"/>
    <n v="2"/>
    <x v="38"/>
    <n v="1"/>
    <n v="1.19"/>
    <n v="0"/>
    <n v="1"/>
    <x v="2"/>
  </r>
  <r>
    <x v="51"/>
    <x v="10"/>
    <d v="1899-12-30T12:00:00"/>
    <x v="11"/>
    <n v="30"/>
    <s v="Burton Albion"/>
    <s v="Cardiff City"/>
    <s v="Odds=1.73/2.93"/>
    <x v="1"/>
    <n v="0.56000000000000005"/>
    <n v="0.66"/>
    <n v="35.71"/>
    <n v="21.43"/>
    <n v="42.86"/>
    <n v="46.15"/>
    <x v="6"/>
    <n v="23.08"/>
    <n v="2"/>
    <x v="16"/>
    <n v="1"/>
    <n v="-1"/>
    <n v="2"/>
    <n v="2"/>
    <x v="1"/>
  </r>
  <r>
    <x v="52"/>
    <x v="10"/>
    <d v="1899-12-30T12:00:00"/>
    <x v="11"/>
    <n v="30"/>
    <s v="Stockport County"/>
    <s v="Plymouth Argyle"/>
    <s v="Odds=1.43/2.83"/>
    <x v="0"/>
    <n v="0.78"/>
    <n v="0.83"/>
    <n v="50"/>
    <n v="21.43"/>
    <n v="28.57"/>
    <n v="46.15"/>
    <x v="16"/>
    <n v="46.15"/>
    <n v="1"/>
    <x v="39"/>
    <n v="1"/>
    <n v="0.72"/>
    <n v="2"/>
    <n v="1"/>
    <x v="0"/>
  </r>
  <r>
    <x v="53"/>
    <x v="10"/>
    <d v="1899-12-30T12:00:00"/>
    <x v="11"/>
    <n v="30"/>
    <s v="Luton Town"/>
    <s v="Blackpool"/>
    <s v="Odds=1.43/2.83"/>
    <x v="0"/>
    <n v="0.77"/>
    <n v="0.48"/>
    <n v="50"/>
    <n v="28.57"/>
    <n v="21.43"/>
    <n v="23.08"/>
    <x v="16"/>
    <n v="69.23"/>
    <n v="1"/>
    <x v="40"/>
    <n v="1"/>
    <n v="0.66"/>
    <n v="1"/>
    <n v="0"/>
    <x v="0"/>
  </r>
  <r>
    <x v="54"/>
    <x v="10"/>
    <d v="1899-12-30T12:00:00"/>
    <x v="11"/>
    <n v="30"/>
    <s v="Barnsley"/>
    <s v="Stevenage"/>
    <s v="Odds=1.43/2.83"/>
    <x v="0"/>
    <n v="1.1399999999999999"/>
    <n v="0.53"/>
    <n v="50"/>
    <n v="16.670000000000002"/>
    <n v="33.33"/>
    <n v="35.71"/>
    <x v="20"/>
    <n v="42.86"/>
    <n v="1"/>
    <x v="41"/>
    <n v="1"/>
    <n v="1.5"/>
    <n v="3"/>
    <n v="1"/>
    <x v="0"/>
  </r>
  <r>
    <x v="55"/>
    <x v="10"/>
    <d v="1899-12-30T12:00:00"/>
    <x v="1"/>
    <n v="30"/>
    <s v="Millwall"/>
    <s v="Sheffield United"/>
    <s v="Odds=1.43/2.83"/>
    <x v="0"/>
    <n v="0.74"/>
    <n v="0.66"/>
    <n v="60"/>
    <n v="13.33"/>
    <n v="26.67"/>
    <n v="33.33"/>
    <x v="15"/>
    <n v="66.67"/>
    <n v="1"/>
    <x v="42"/>
    <n v="1"/>
    <n v="-1"/>
    <n v="1"/>
    <n v="1"/>
    <x v="1"/>
  </r>
  <r>
    <x v="56"/>
    <x v="10"/>
    <d v="1899-12-30T12:00:00"/>
    <x v="1"/>
    <n v="30"/>
    <s v="Watford"/>
    <s v="Swansea City"/>
    <s v="Odds=1.43/2.83"/>
    <x v="0"/>
    <n v="0.9"/>
    <n v="0.45"/>
    <n v="53.33"/>
    <n v="33.33"/>
    <n v="13.33"/>
    <n v="21.43"/>
    <x v="21"/>
    <n v="64.290000000000006"/>
    <n v="1"/>
    <x v="43"/>
    <n v="1"/>
    <n v="-1"/>
    <n v="0"/>
    <n v="2"/>
    <x v="2"/>
  </r>
  <r>
    <x v="57"/>
    <x v="10"/>
    <d v="1899-12-30T14:00:00"/>
    <x v="13"/>
    <n v="20"/>
    <s v="Göztepe"/>
    <s v="Fatih Karagümrük"/>
    <s v="Odds=1.43/2.83"/>
    <x v="0"/>
    <n v="0.75"/>
    <n v="0.43"/>
    <n v="55.56"/>
    <n v="33.33"/>
    <n v="11.11"/>
    <n v="11.11"/>
    <x v="13"/>
    <n v="77.78"/>
    <n v="1"/>
    <x v="22"/>
    <n v="1"/>
    <n v="0.57999999999999996"/>
    <n v="2"/>
    <n v="1"/>
    <x v="0"/>
  </r>
  <r>
    <x v="58"/>
    <x v="10"/>
    <d v="1899-12-30T14:00:00"/>
    <x v="13"/>
    <n v="20"/>
    <s v="Beşiktaş"/>
    <s v="Konyaspor"/>
    <s v="Odds=1.43/2.83"/>
    <x v="0"/>
    <n v="1"/>
    <n v="0.7"/>
    <n v="55.56"/>
    <n v="22.22"/>
    <n v="22.22"/>
    <n v="22.22"/>
    <x v="2"/>
    <n v="44.44"/>
    <n v="1"/>
    <x v="32"/>
    <n v="1"/>
    <n v="0.5"/>
    <n v="2"/>
    <n v="1"/>
    <x v="0"/>
  </r>
  <r>
    <x v="59"/>
    <x v="10"/>
    <d v="1899-12-30T14:30:00"/>
    <x v="8"/>
    <n v="24"/>
    <s v="Chelsea"/>
    <s v="West Ham United"/>
    <s v="Odds=1.43/2.83"/>
    <x v="0"/>
    <n v="0.92"/>
    <n v="0.64"/>
    <n v="45.45"/>
    <n v="27.27"/>
    <n v="27.27"/>
    <n v="20"/>
    <x v="12"/>
    <n v="40"/>
    <n v="1"/>
    <x v="44"/>
    <n v="1"/>
    <n v="0.63"/>
    <n v="3"/>
    <n v="2"/>
    <x v="0"/>
  </r>
  <r>
    <x v="60"/>
    <x v="10"/>
    <d v="1899-12-30T14:30:00"/>
    <x v="3"/>
    <n v="24"/>
    <s v="Cultural y Deportiva Leonesa"/>
    <s v="Deportivo La Coruña"/>
    <s v="Odds=1.73/2.93"/>
    <x v="1"/>
    <n v="0.4"/>
    <n v="1.01"/>
    <n v="18.18"/>
    <n v="27.27"/>
    <n v="54.55"/>
    <n v="50"/>
    <x v="17"/>
    <n v="25"/>
    <n v="2"/>
    <x v="45"/>
    <n v="1"/>
    <n v="1.33"/>
    <n v="0"/>
    <n v="1"/>
    <x v="2"/>
  </r>
  <r>
    <x v="61"/>
    <x v="10"/>
    <d v="1899-12-30T16:45:00"/>
    <x v="9"/>
    <n v="23"/>
    <s v="Sint-Truiden"/>
    <s v="Sporting Charleroi"/>
    <s v="Odds=1.43/2.83"/>
    <x v="0"/>
    <n v="0.97"/>
    <n v="0.68"/>
    <n v="72.73"/>
    <n v="9.09"/>
    <n v="18.18"/>
    <n v="36.36"/>
    <x v="18"/>
    <n v="54.55"/>
    <n v="1"/>
    <x v="46"/>
    <n v="1"/>
    <n v="-1"/>
    <n v="0"/>
    <n v="2"/>
    <x v="2"/>
  </r>
  <r>
    <x v="62"/>
    <x v="11"/>
    <d v="1899-12-30T09:30:00"/>
    <x v="12"/>
    <n v="20"/>
    <s v="Fortuna Düsseldorf"/>
    <s v="Paderborn"/>
    <s v="Odds=1.73/2.93"/>
    <x v="1"/>
    <n v="0.57999999999999996"/>
    <n v="0.9"/>
    <n v="30"/>
    <n v="20"/>
    <n v="50"/>
    <n v="55.56"/>
    <x v="9"/>
    <n v="22.22"/>
    <n v="2"/>
    <x v="41"/>
    <n v="1"/>
    <n v="-1"/>
    <n v="2"/>
    <n v="1"/>
    <x v="0"/>
  </r>
  <r>
    <x v="63"/>
    <x v="11"/>
    <d v="1899-12-30T10:00:00"/>
    <x v="3"/>
    <n v="24"/>
    <s v="Almería"/>
    <s v="Ceuta"/>
    <s v="Odds=1.43/2.83"/>
    <x v="0"/>
    <n v="1.24"/>
    <n v="0.53"/>
    <n v="54.55"/>
    <n v="18.18"/>
    <n v="27.27"/>
    <n v="18.18"/>
    <x v="4"/>
    <n v="45.45"/>
    <n v="1"/>
    <x v="20"/>
    <n v="1"/>
    <n v="0.8"/>
    <n v="4"/>
    <n v="2"/>
    <x v="0"/>
  </r>
  <r>
    <x v="64"/>
    <x v="11"/>
    <d v="1899-12-30T11:00:00"/>
    <x v="8"/>
    <n v="24"/>
    <s v="Aston Villa"/>
    <s v="Brentford"/>
    <s v="Odds=1.43/2.83"/>
    <x v="0"/>
    <n v="0.95"/>
    <n v="0.62"/>
    <n v="72.73"/>
    <n v="9.09"/>
    <n v="18.18"/>
    <n v="27.27"/>
    <x v="15"/>
    <n v="72.73"/>
    <n v="1"/>
    <x v="45"/>
    <n v="1"/>
    <n v="-1"/>
    <n v="0"/>
    <n v="1"/>
    <x v="2"/>
  </r>
  <r>
    <x v="65"/>
    <x v="11"/>
    <d v="1899-12-30T11:30:00"/>
    <x v="14"/>
    <n v="20"/>
    <s v="Stuttgart"/>
    <s v="Freiburg"/>
    <s v="Odds=1.43/2.83"/>
    <x v="0"/>
    <n v="0.91"/>
    <n v="0.78"/>
    <n v="66.67"/>
    <n v="22.22"/>
    <n v="11.11"/>
    <n v="20"/>
    <x v="3"/>
    <n v="50"/>
    <n v="1"/>
    <x v="40"/>
    <n v="1"/>
    <n v="0.66"/>
    <n v="1"/>
    <n v="0"/>
    <x v="0"/>
  </r>
  <r>
    <x v="66"/>
    <x v="11"/>
    <d v="1899-12-30T12:15:00"/>
    <x v="2"/>
    <n v="22"/>
    <s v="Real Betis"/>
    <s v="Valencia CF"/>
    <s v="Odds=1.43/2.83"/>
    <x v="0"/>
    <n v="1.1299999999999999"/>
    <n v="0.36"/>
    <n v="60"/>
    <n v="10"/>
    <n v="30"/>
    <n v="10"/>
    <x v="3"/>
    <n v="60"/>
    <n v="1"/>
    <x v="47"/>
    <n v="1"/>
    <n v="0.86"/>
    <n v="2"/>
    <n v="1"/>
    <x v="0"/>
  </r>
  <r>
    <x v="67"/>
    <x v="11"/>
    <d v="1899-12-30T14:30:00"/>
    <x v="3"/>
    <n v="24"/>
    <s v="CD Castellón"/>
    <s v="FC Andorra"/>
    <s v="Odds=1.43/2.83"/>
    <x v="0"/>
    <n v="1.18"/>
    <n v="0.64"/>
    <n v="63.64"/>
    <n v="18.18"/>
    <n v="18.18"/>
    <n v="33.33"/>
    <x v="17"/>
    <n v="41.67"/>
    <n v="1"/>
    <x v="48"/>
    <n v="1"/>
    <n v="0.47"/>
    <n v="2"/>
    <n v="0"/>
    <x v="0"/>
  </r>
  <r>
    <x v="68"/>
    <x v="11"/>
    <d v="1899-12-30T17:00:00"/>
    <x v="2"/>
    <n v="22"/>
    <s v="Athletic Club Bilbao"/>
    <s v="Real Sociedad"/>
    <s v="Odds=1.43/2.83"/>
    <x v="0"/>
    <n v="0.47"/>
    <n v="0.57999999999999996"/>
    <n v="50"/>
    <n v="10"/>
    <n v="40"/>
    <n v="20"/>
    <x v="12"/>
    <n v="40"/>
    <n v="1"/>
    <x v="49"/>
    <n v="1"/>
    <n v="-1"/>
    <n v="1"/>
    <n v="1"/>
    <x v="1"/>
  </r>
  <r>
    <x v="69"/>
    <x v="12"/>
    <d v="1899-12-30T10:00:00"/>
    <x v="5"/>
    <n v="23"/>
    <s v="Wehen Wiesbaden"/>
    <s v="Schweinfurt"/>
    <s v="Odds=1.43/2.83"/>
    <x v="0"/>
    <n v="1.21"/>
    <n v="0.44"/>
    <n v="60"/>
    <n v="10"/>
    <n v="30"/>
    <n v="9.09"/>
    <x v="15"/>
    <n v="90.91"/>
    <n v="1"/>
    <x v="50"/>
    <n v="1"/>
    <n v="0.53"/>
    <n v="2"/>
    <n v="0"/>
    <x v="0"/>
  </r>
  <r>
    <x v="70"/>
    <x v="12"/>
    <d v="1899-12-30T10:00:00"/>
    <x v="16"/>
    <n v="22"/>
    <s v="Le Mans"/>
    <s v="Laval"/>
    <s v="Odds=1.43/2.83"/>
    <x v="0"/>
    <n v="0.43"/>
    <n v="0.42"/>
    <n v="54.55"/>
    <n v="27.27"/>
    <n v="18.18"/>
    <n v="27.27"/>
    <x v="4"/>
    <n v="36.36"/>
    <n v="1"/>
    <x v="36"/>
    <n v="1"/>
    <n v="-1"/>
    <n v="1"/>
    <n v="1"/>
    <x v="1"/>
  </r>
  <r>
    <x v="71"/>
    <x v="12"/>
    <d v="1899-12-30T11:00:00"/>
    <x v="6"/>
    <n v="23"/>
    <s v="Modena"/>
    <s v="Sampdoria"/>
    <s v="Odds=1.43/2.83"/>
    <x v="0"/>
    <n v="0.73"/>
    <n v="0.33"/>
    <n v="45.45"/>
    <n v="27.27"/>
    <n v="27.27"/>
    <n v="0"/>
    <x v="4"/>
    <n v="63.64"/>
    <n v="1"/>
    <x v="51"/>
    <n v="1"/>
    <n v="-1"/>
    <n v="1"/>
    <n v="2"/>
    <x v="2"/>
  </r>
  <r>
    <x v="72"/>
    <x v="12"/>
    <d v="1899-12-30T11:30:00"/>
    <x v="14"/>
    <n v="21"/>
    <s v="Freiburg"/>
    <s v="Werder Bremen"/>
    <s v="Odds=1.43/2.83"/>
    <x v="0"/>
    <n v="1.2"/>
    <n v="0.65"/>
    <n v="55.56"/>
    <n v="33.33"/>
    <n v="11.11"/>
    <n v="10"/>
    <x v="3"/>
    <n v="60"/>
    <n v="1"/>
    <x v="43"/>
    <n v="1"/>
    <n v="1.17"/>
    <n v="1"/>
    <n v="0"/>
    <x v="0"/>
  </r>
  <r>
    <x v="73"/>
    <x v="12"/>
    <d v="1899-12-30T12:01:00"/>
    <x v="11"/>
    <n v="31"/>
    <s v="Wycombe Wanderers"/>
    <s v="Doncaster Rovers"/>
    <s v="Odds=1.43/2.83"/>
    <x v="0"/>
    <n v="0.96"/>
    <n v="0.42"/>
    <n v="53.33"/>
    <n v="20"/>
    <n v="26.67"/>
    <n v="20"/>
    <x v="8"/>
    <n v="60"/>
    <n v="1"/>
    <x v="43"/>
    <n v="1"/>
    <n v="1.17"/>
    <n v="4"/>
    <n v="0"/>
    <x v="0"/>
  </r>
  <r>
    <x v="74"/>
    <x v="12"/>
    <d v="1899-12-30T12:01:00"/>
    <x v="11"/>
    <n v="31"/>
    <s v="Huddersfield Town"/>
    <s v="Blackpool"/>
    <s v="Odds=1.43/2.83"/>
    <x v="0"/>
    <n v="1.05"/>
    <n v="0.44"/>
    <n v="60"/>
    <n v="26.67"/>
    <n v="13.33"/>
    <n v="21.43"/>
    <x v="22"/>
    <n v="71.430000000000007"/>
    <n v="1"/>
    <x v="52"/>
    <n v="1"/>
    <n v="-1"/>
    <n v="2"/>
    <n v="2"/>
    <x v="1"/>
  </r>
  <r>
    <x v="75"/>
    <x v="12"/>
    <d v="1899-12-30T12:01:00"/>
    <x v="11"/>
    <n v="31"/>
    <s v="Stockport County"/>
    <s v="Leyton Orient"/>
    <s v="Odds=1.43/2.83"/>
    <x v="0"/>
    <n v="0.81"/>
    <n v="0.66"/>
    <n v="53.33"/>
    <n v="20"/>
    <n v="26.67"/>
    <n v="20"/>
    <x v="23"/>
    <n v="73.33"/>
    <n v="1"/>
    <x v="53"/>
    <n v="1"/>
    <n v="-1"/>
    <n v="0"/>
    <n v="0"/>
    <x v="1"/>
  </r>
  <r>
    <x v="76"/>
    <x v="12"/>
    <d v="1899-12-30T12:15:00"/>
    <x v="3"/>
    <n v="25"/>
    <s v="UD Las Palmas"/>
    <s v="Burgos CF"/>
    <s v="Odds=1.43/2.83"/>
    <x v="0"/>
    <n v="0.75"/>
    <n v="0.57999999999999996"/>
    <n v="50"/>
    <n v="25"/>
    <n v="25"/>
    <n v="45.45"/>
    <x v="18"/>
    <n v="45.45"/>
    <n v="1"/>
    <x v="25"/>
    <n v="1"/>
    <n v="-1"/>
    <n v="0"/>
    <n v="0"/>
    <x v="1"/>
  </r>
  <r>
    <x v="77"/>
    <x v="12"/>
    <d v="1899-12-30T13:15:00"/>
    <x v="6"/>
    <n v="23"/>
    <s v="Palermo"/>
    <s v="Empoli"/>
    <s v="Odds=1.43/2.83"/>
    <x v="0"/>
    <n v="0.87"/>
    <n v="0.48"/>
    <n v="63.64"/>
    <n v="27.27"/>
    <n v="9.09"/>
    <n v="40"/>
    <x v="15"/>
    <n v="60"/>
    <n v="1"/>
    <x v="52"/>
    <n v="1"/>
    <n v="0.69"/>
    <n v="3"/>
    <n v="2"/>
    <x v="0"/>
  </r>
  <r>
    <x v="78"/>
    <x v="12"/>
    <d v="1899-12-30T14:30:00"/>
    <x v="8"/>
    <n v="25"/>
    <s v="Newcastle United"/>
    <s v="Brentford"/>
    <s v="Odds=1.43/2.83"/>
    <x v="0"/>
    <n v="1.06"/>
    <n v="0.62"/>
    <n v="58.33"/>
    <n v="16.670000000000002"/>
    <n v="25"/>
    <n v="33.33"/>
    <x v="15"/>
    <n v="66.67"/>
    <n v="1"/>
    <x v="28"/>
    <n v="1"/>
    <n v="-1"/>
    <n v="2"/>
    <n v="3"/>
    <x v="2"/>
  </r>
  <r>
    <x v="79"/>
    <x v="13"/>
    <d v="1899-12-30T11:00:00"/>
    <x v="6"/>
    <n v="23"/>
    <s v="Monza"/>
    <s v="Avellino"/>
    <s v="Odds=1.43/2.83"/>
    <x v="0"/>
    <n v="0.88"/>
    <n v="0.47"/>
    <n v="72.73"/>
    <n v="18.18"/>
    <n v="9.09"/>
    <n v="18.18"/>
    <x v="4"/>
    <n v="45.45"/>
    <n v="1"/>
    <x v="32"/>
    <n v="1"/>
    <n v="0.5"/>
    <n v="2"/>
    <n v="1"/>
    <x v="0"/>
  </r>
  <r>
    <x v="80"/>
    <x v="13"/>
    <d v="1899-12-30T12:15:00"/>
    <x v="2"/>
    <n v="23"/>
    <s v="Athletic Club Bilbao"/>
    <s v="Levante UD"/>
    <s v="Odds=1.43/2.83"/>
    <x v="0"/>
    <n v="0.47"/>
    <n v="0.65"/>
    <n v="45.45"/>
    <n v="18.18"/>
    <n v="36.36"/>
    <n v="27.27"/>
    <x v="7"/>
    <n v="54.55"/>
    <n v="1"/>
    <x v="18"/>
    <n v="1"/>
    <n v="0.6"/>
    <n v="4"/>
    <n v="2"/>
    <x v="0"/>
  </r>
  <r>
    <x v="81"/>
    <x v="13"/>
    <d v="1899-12-30T14:30:00"/>
    <x v="3"/>
    <n v="25"/>
    <s v="Sporting Gijón"/>
    <s v="SD Huesca"/>
    <s v="Odds=1.43/2.83"/>
    <x v="0"/>
    <n v="0.81"/>
    <n v="0.27"/>
    <n v="50"/>
    <n v="25"/>
    <n v="25"/>
    <n v="16.670000000000002"/>
    <x v="24"/>
    <n v="66.67"/>
    <n v="1"/>
    <x v="54"/>
    <n v="1"/>
    <n v="0.62"/>
    <n v="2"/>
    <n v="1"/>
    <x v="0"/>
  </r>
  <r>
    <x v="82"/>
    <x v="13"/>
    <d v="1899-12-30T17:00:00"/>
    <x v="3"/>
    <n v="25"/>
    <s v="Málaga CF"/>
    <s v="Cultural y Deportiva Leonesa"/>
    <s v="Odds=1.43/2.83"/>
    <x v="0"/>
    <n v="1.03"/>
    <n v="0.72"/>
    <n v="58.33"/>
    <n v="33.33"/>
    <n v="8.33"/>
    <n v="41.67"/>
    <x v="19"/>
    <n v="50"/>
    <n v="1"/>
    <x v="11"/>
    <n v="1"/>
    <n v="0.77"/>
    <n v="2"/>
    <n v="1"/>
    <x v="0"/>
  </r>
  <r>
    <x v="83"/>
    <x v="14"/>
    <d v="1899-12-30T16:00:00"/>
    <x v="10"/>
    <n v="26"/>
    <s v="AZ II"/>
    <s v="Dordrecht"/>
    <s v="Odds=1.73/2.93"/>
    <x v="1"/>
    <n v="0.88"/>
    <n v="0.86"/>
    <n v="16.670000000000002"/>
    <n v="0"/>
    <n v="83.33"/>
    <n v="38.46"/>
    <x v="6"/>
    <n v="30.77"/>
    <n v="2"/>
    <x v="55"/>
    <n v="1"/>
    <n v="1.52"/>
    <n v="1"/>
    <n v="2"/>
    <x v="2"/>
  </r>
  <r>
    <x v="84"/>
    <x v="14"/>
    <d v="1899-12-30T16:45:00"/>
    <x v="15"/>
    <n v="24"/>
    <s v="Roma"/>
    <s v="Cagliari"/>
    <s v="Odds=1.43/2.83"/>
    <x v="0"/>
    <n v="0.61"/>
    <n v="0.55000000000000004"/>
    <n v="63.64"/>
    <n v="9.09"/>
    <n v="27.27"/>
    <n v="25"/>
    <x v="2"/>
    <n v="41.67"/>
    <n v="1"/>
    <x v="32"/>
    <n v="1"/>
    <n v="0.5"/>
    <n v="2"/>
    <n v="0"/>
    <x v="0"/>
  </r>
  <r>
    <x v="85"/>
    <x v="15"/>
    <d v="1899-12-30T16:30:00"/>
    <x v="8"/>
    <n v="26"/>
    <s v="Chelsea"/>
    <s v="Leeds United"/>
    <s v="Odds=1.43/2.83"/>
    <x v="0"/>
    <n v="1.01"/>
    <n v="0.54"/>
    <n v="50"/>
    <n v="25"/>
    <n v="25"/>
    <n v="8.33"/>
    <x v="2"/>
    <n v="58.33"/>
    <n v="1"/>
    <x v="56"/>
    <n v="1"/>
    <n v="-1"/>
    <n v="2"/>
    <n v="2"/>
    <x v="1"/>
  </r>
  <r>
    <x v="86"/>
    <x v="16"/>
    <d v="1899-12-30T16:30:00"/>
    <x v="8"/>
    <n v="26"/>
    <s v="Aston Villa"/>
    <s v="Brighton &amp; Hove Albion"/>
    <s v="Odds=1.43/2.83"/>
    <x v="0"/>
    <n v="0.88"/>
    <n v="0.74"/>
    <n v="66.67"/>
    <n v="8.33"/>
    <n v="25"/>
    <n v="16.670000000000002"/>
    <x v="2"/>
    <n v="50"/>
    <n v="1"/>
    <x v="57"/>
    <n v="1"/>
    <n v="1.04"/>
    <n v="1"/>
    <n v="0"/>
    <x v="0"/>
  </r>
  <r>
    <x v="87"/>
    <x v="17"/>
    <d v="1899-12-30T16:00:00"/>
    <x v="10"/>
    <n v="27"/>
    <s v="Den Bosch"/>
    <s v="Eindhoven"/>
    <s v="Odds=1.43/2.83"/>
    <x v="0"/>
    <n v="1.38"/>
    <n v="0.57999999999999996"/>
    <n v="46.15"/>
    <n v="23.08"/>
    <n v="30.77"/>
    <n v="30.77"/>
    <x v="25"/>
    <n v="46.15"/>
    <n v="1"/>
    <x v="47"/>
    <n v="1"/>
    <n v="0.86"/>
    <n v="2"/>
    <n v="1"/>
    <x v="0"/>
  </r>
  <r>
    <x v="88"/>
    <x v="18"/>
    <d v="1899-12-30T14:00:00"/>
    <x v="13"/>
    <n v="22"/>
    <s v="Antalyaspor"/>
    <s v="Samsunspor"/>
    <s v="Odds=1.73/2.93"/>
    <x v="1"/>
    <n v="0.67"/>
    <n v="0.88"/>
    <n v="20"/>
    <n v="20"/>
    <n v="60"/>
    <n v="40"/>
    <x v="12"/>
    <n v="20"/>
    <n v="2"/>
    <x v="46"/>
    <n v="1"/>
    <n v="-1"/>
    <n v="3"/>
    <n v="1"/>
    <x v="0"/>
  </r>
  <r>
    <x v="89"/>
    <x v="18"/>
    <d v="1899-12-30T15:00:00"/>
    <x v="5"/>
    <n v="24"/>
    <s v="Viktoria Köln"/>
    <s v="Erzgebirge Aue"/>
    <s v="Odds=1.43/2.83"/>
    <x v="0"/>
    <n v="0.94"/>
    <n v="0.52"/>
    <n v="50"/>
    <n v="16.670000000000002"/>
    <n v="33.33"/>
    <n v="9.09"/>
    <x v="5"/>
    <n v="63.64"/>
    <n v="1"/>
    <x v="58"/>
    <n v="1"/>
    <n v="-1"/>
    <n v="2"/>
    <n v="2"/>
    <x v="1"/>
  </r>
  <r>
    <x v="90"/>
    <x v="18"/>
    <d v="1899-12-30T16:00:00"/>
    <x v="16"/>
    <n v="23"/>
    <s v="Amiens SC"/>
    <s v="Dunkerque"/>
    <s v="Odds=1.73/2.93"/>
    <x v="1"/>
    <n v="0.62"/>
    <n v="0.78"/>
    <n v="18.18"/>
    <n v="27.27"/>
    <n v="54.55"/>
    <n v="40"/>
    <x v="3"/>
    <n v="30"/>
    <n v="2"/>
    <x v="14"/>
    <n v="1"/>
    <n v="0.99"/>
    <n v="1"/>
    <n v="3"/>
    <x v="2"/>
  </r>
  <r>
    <x v="91"/>
    <x v="18"/>
    <d v="1899-12-30T16:30:00"/>
    <x v="3"/>
    <n v="26"/>
    <s v="Almería"/>
    <s v="FC Andorra"/>
    <s v="Odds=1.43/2.83"/>
    <x v="0"/>
    <n v="1.33"/>
    <n v="0.59"/>
    <n v="58.33"/>
    <n v="16.670000000000002"/>
    <n v="25"/>
    <n v="30.77"/>
    <x v="25"/>
    <n v="46.15"/>
    <n v="1"/>
    <x v="30"/>
    <n v="1"/>
    <n v="0.74"/>
    <n v="3"/>
    <n v="2"/>
    <x v="0"/>
  </r>
  <r>
    <x v="92"/>
    <x v="18"/>
    <d v="1899-12-30T17:05:00"/>
    <x v="0"/>
    <n v="22"/>
    <s v="Monaco"/>
    <s v="Nantes"/>
    <s v="Odds=1.43/2.83"/>
    <x v="0"/>
    <n v="1.24"/>
    <n v="0.47"/>
    <n v="54.55"/>
    <n v="9.09"/>
    <n v="36.36"/>
    <n v="20"/>
    <x v="3"/>
    <n v="50"/>
    <n v="1"/>
    <x v="21"/>
    <n v="1"/>
    <n v="0.44"/>
    <n v="3"/>
    <n v="1"/>
    <x v="0"/>
  </r>
  <r>
    <x v="93"/>
    <x v="19"/>
    <d v="1899-12-30T11:00:00"/>
    <x v="6"/>
    <n v="25"/>
    <s v="Palermo"/>
    <s v="Virtus Entella"/>
    <s v="Odds=1.43/2.83"/>
    <x v="0"/>
    <n v="0.92"/>
    <n v="0.3"/>
    <n v="66.67"/>
    <n v="25"/>
    <n v="8.33"/>
    <n v="0"/>
    <x v="2"/>
    <n v="66.67"/>
    <n v="1"/>
    <x v="59"/>
    <n v="1"/>
    <n v="0.55000000000000004"/>
    <n v="3"/>
    <n v="0"/>
    <x v="0"/>
  </r>
  <r>
    <x v="94"/>
    <x v="19"/>
    <d v="1899-12-30T11:30:00"/>
    <x v="14"/>
    <n v="22"/>
    <s v="Bayer Leverkusen"/>
    <s v="St. Pauli"/>
    <s v="Odds=1.43/2.83"/>
    <x v="0"/>
    <n v="1.24"/>
    <n v="0.42"/>
    <n v="60"/>
    <n v="10"/>
    <n v="30"/>
    <n v="9.09"/>
    <x v="7"/>
    <n v="72.73"/>
    <n v="1"/>
    <x v="60"/>
    <n v="1"/>
    <n v="0.51"/>
    <n v="3"/>
    <n v="0"/>
    <x v="0"/>
  </r>
  <r>
    <x v="95"/>
    <x v="19"/>
    <d v="1899-12-30T12:00:00"/>
    <x v="11"/>
    <n v="32"/>
    <s v="Barnsley"/>
    <s v="AFC Wimbledon"/>
    <s v="Odds=1.43/2.83"/>
    <x v="0"/>
    <n v="1.27"/>
    <n v="0.66"/>
    <n v="53.85"/>
    <n v="15.38"/>
    <n v="30.77"/>
    <n v="40"/>
    <x v="26"/>
    <n v="46.67"/>
    <n v="1"/>
    <x v="31"/>
    <n v="1"/>
    <n v="-1"/>
    <n v="3"/>
    <n v="3"/>
    <x v="1"/>
  </r>
  <r>
    <x v="96"/>
    <x v="19"/>
    <d v="1899-12-30T12:00:00"/>
    <x v="11"/>
    <n v="32"/>
    <s v="Bradford City"/>
    <s v="Peterborough United"/>
    <s v="Odds=1.43/2.83"/>
    <x v="0"/>
    <n v="0.82"/>
    <n v="0.63"/>
    <n v="66.67"/>
    <n v="20"/>
    <n v="13.33"/>
    <n v="40"/>
    <x v="23"/>
    <n v="53.33"/>
    <n v="1"/>
    <x v="61"/>
    <n v="1"/>
    <n v="0.88"/>
    <n v="2"/>
    <n v="0"/>
    <x v="0"/>
  </r>
  <r>
    <x v="97"/>
    <x v="19"/>
    <d v="1899-12-30T12:00:00"/>
    <x v="1"/>
    <n v="32"/>
    <s v="Queens Park Rangers"/>
    <s v="Blackburn Rovers"/>
    <s v="Odds=1.43/2.83"/>
    <x v="0"/>
    <n v="1.05"/>
    <n v="0.42"/>
    <n v="53.33"/>
    <n v="13.33"/>
    <n v="33.33"/>
    <n v="33.33"/>
    <x v="8"/>
    <n v="46.67"/>
    <n v="1"/>
    <x v="7"/>
    <n v="1"/>
    <n v="-1"/>
    <n v="1"/>
    <n v="3"/>
    <x v="2"/>
  </r>
  <r>
    <x v="98"/>
    <x v="19"/>
    <d v="1899-12-30T12:15:00"/>
    <x v="2"/>
    <n v="24"/>
    <s v="Getafe CF"/>
    <s v="Villarreal"/>
    <s v="Odds=1.73/2.93"/>
    <x v="1"/>
    <n v="0.32"/>
    <n v="0.88"/>
    <n v="27.27"/>
    <n v="27.27"/>
    <n v="45.45"/>
    <n v="45.45"/>
    <x v="5"/>
    <n v="27.27"/>
    <n v="2"/>
    <x v="17"/>
    <n v="1"/>
    <n v="-1"/>
    <n v="2"/>
    <n v="1"/>
    <x v="0"/>
  </r>
  <r>
    <x v="99"/>
    <x v="19"/>
    <d v="1899-12-30T12:30:00"/>
    <x v="5"/>
    <n v="24"/>
    <s v="Rot-Weiss Essen"/>
    <s v="Jahn Regensburg"/>
    <s v="Odds=1.43/2.83"/>
    <x v="0"/>
    <n v="1.24"/>
    <n v="0.64"/>
    <n v="50"/>
    <n v="33.33"/>
    <n v="16.670000000000002"/>
    <n v="25"/>
    <x v="24"/>
    <n v="58.33"/>
    <n v="1"/>
    <x v="36"/>
    <n v="1"/>
    <n v="0.91"/>
    <n v="3"/>
    <n v="2"/>
    <x v="0"/>
  </r>
  <r>
    <x v="100"/>
    <x v="19"/>
    <d v="1899-12-30T14:30:00"/>
    <x v="14"/>
    <n v="22"/>
    <s v="Stuttgart"/>
    <s v="Köln"/>
    <s v="Odds=1.43/2.83"/>
    <x v="0"/>
    <n v="0.88"/>
    <n v="0.69"/>
    <n v="70"/>
    <n v="20"/>
    <n v="10"/>
    <n v="20"/>
    <x v="3"/>
    <n v="50"/>
    <n v="1"/>
    <x v="62"/>
    <n v="1"/>
    <n v="0.48"/>
    <n v="3"/>
    <n v="1"/>
    <x v="0"/>
  </r>
  <r>
    <x v="101"/>
    <x v="19"/>
    <d v="1899-12-30T15:00:00"/>
    <x v="0"/>
    <n v="22"/>
    <s v="Lille"/>
    <s v="Brest"/>
    <s v="Odds=1.43/2.83"/>
    <x v="0"/>
    <n v="0.95"/>
    <n v="0.69"/>
    <n v="60"/>
    <n v="10"/>
    <n v="30"/>
    <n v="20"/>
    <x v="8"/>
    <n v="60"/>
    <n v="1"/>
    <x v="24"/>
    <n v="1"/>
    <n v="-1"/>
    <n v="1"/>
    <n v="1"/>
    <x v="1"/>
  </r>
  <r>
    <x v="102"/>
    <x v="20"/>
    <d v="1899-12-30T09:30:00"/>
    <x v="12"/>
    <n v="22"/>
    <s v="Holstein Kiel"/>
    <s v="Schalke 04"/>
    <s v="Odds=1.73/2.93"/>
    <x v="1"/>
    <n v="0.76"/>
    <n v="0.67"/>
    <n v="40"/>
    <n v="20"/>
    <n v="40"/>
    <n v="45.45"/>
    <x v="7"/>
    <n v="36.36"/>
    <n v="2"/>
    <x v="63"/>
    <n v="1"/>
    <n v="1.38"/>
    <n v="1"/>
    <n v="2"/>
    <x v="2"/>
  </r>
  <r>
    <x v="103"/>
    <x v="20"/>
    <d v="1899-12-30T11:00:00"/>
    <x v="13"/>
    <n v="22"/>
    <s v="Göztepe"/>
    <s v="Kayserispor"/>
    <s v="Odds=1.43/2.83"/>
    <x v="0"/>
    <n v="0.77"/>
    <n v="0.53"/>
    <n v="60"/>
    <n v="30"/>
    <n v="10"/>
    <n v="9.09"/>
    <x v="27"/>
    <n v="36.36"/>
    <n v="1"/>
    <x v="30"/>
    <n v="1"/>
    <n v="-1"/>
    <n v="0"/>
    <n v="0"/>
    <x v="1"/>
  </r>
  <r>
    <x v="104"/>
    <x v="20"/>
    <d v="1899-12-30T14:30:00"/>
    <x v="9"/>
    <n v="25"/>
    <s v="RSC Anderlecht"/>
    <s v="RAAL La Louvière"/>
    <s v="Odds=1.43/2.83"/>
    <x v="0"/>
    <n v="0.92"/>
    <n v="0.63"/>
    <n v="58.33"/>
    <n v="25"/>
    <n v="16.670000000000002"/>
    <n v="16.670000000000002"/>
    <x v="2"/>
    <n v="50"/>
    <n v="1"/>
    <x v="20"/>
    <n v="1"/>
    <n v="-1"/>
    <n v="0"/>
    <n v="0"/>
    <x v="1"/>
  </r>
  <r>
    <x v="105"/>
    <x v="20"/>
    <d v="1899-12-30T15:15:00"/>
    <x v="9"/>
    <n v="25"/>
    <s v="Sint-Truiden"/>
    <s v="Zulte-Waregem"/>
    <s v="Odds=1.43/2.83"/>
    <x v="0"/>
    <n v="0.89"/>
    <n v="0.81"/>
    <n v="66.67"/>
    <n v="8.33"/>
    <n v="25"/>
    <n v="16.670000000000002"/>
    <x v="28"/>
    <n v="41.67"/>
    <n v="1"/>
    <x v="64"/>
    <n v="1"/>
    <n v="0.78"/>
    <n v="3"/>
    <n v="2"/>
    <x v="0"/>
  </r>
  <r>
    <x v="106"/>
    <x v="20"/>
    <d v="1899-12-30T16:45:00"/>
    <x v="0"/>
    <n v="22"/>
    <s v="Olympique Lyonnais"/>
    <s v="Nice"/>
    <s v="Odds=1.43/2.83"/>
    <x v="0"/>
    <n v="0.98"/>
    <n v="0.8"/>
    <n v="80"/>
    <n v="0"/>
    <n v="20"/>
    <n v="20"/>
    <x v="29"/>
    <n v="70"/>
    <n v="1"/>
    <x v="25"/>
    <n v="1"/>
    <n v="0.94"/>
    <n v="2"/>
    <n v="0"/>
    <x v="0"/>
  </r>
  <r>
    <x v="107"/>
    <x v="21"/>
    <d v="1899-12-30T16:45:00"/>
    <x v="11"/>
    <n v="33"/>
    <s v="Barnsley"/>
    <s v="Peterborough United"/>
    <s v="Odds=1.43/2.83"/>
    <x v="0"/>
    <n v="1.31"/>
    <n v="0.67"/>
    <n v="50"/>
    <n v="21.43"/>
    <n v="28.57"/>
    <n v="43.75"/>
    <x v="15"/>
    <n v="56.25"/>
    <n v="1"/>
    <x v="3"/>
    <n v="1"/>
    <n v="0.84"/>
    <n v="2"/>
    <n v="1"/>
    <x v="0"/>
  </r>
  <r>
    <x v="108"/>
    <x v="22"/>
    <d v="1899-12-30T14:30:00"/>
    <x v="12"/>
    <n v="23"/>
    <s v="Bochum"/>
    <s v="Nürnberg"/>
    <s v="Odds=1.43/2.83"/>
    <x v="0"/>
    <n v="0.98"/>
    <n v="0.56000000000000005"/>
    <n v="45.45"/>
    <n v="27.27"/>
    <n v="27.27"/>
    <n v="20"/>
    <x v="29"/>
    <n v="70"/>
    <n v="1"/>
    <x v="7"/>
    <n v="1"/>
    <n v="-1"/>
    <n v="1"/>
    <n v="1"/>
    <x v="1"/>
  </r>
  <r>
    <x v="109"/>
    <x v="22"/>
    <d v="1899-12-30T16:00:00"/>
    <x v="10"/>
    <n v="28"/>
    <s v="De Graafschap"/>
    <s v="Utrecht II"/>
    <s v="Odds=1.43/2.83"/>
    <x v="0"/>
    <n v="1.44"/>
    <n v="0.87"/>
    <n v="46.15"/>
    <n v="23.08"/>
    <n v="30.77"/>
    <n v="23.08"/>
    <x v="10"/>
    <n v="38.46"/>
    <n v="1"/>
    <x v="65"/>
    <n v="1"/>
    <n v="0.67"/>
    <n v="1"/>
    <n v="0"/>
    <x v="0"/>
  </r>
  <r>
    <x v="110"/>
    <x v="22"/>
    <d v="1899-12-30T16:30:00"/>
    <x v="3"/>
    <n v="27"/>
    <s v="Ceuta"/>
    <s v="Granada CF"/>
    <s v="Odds=1.43/2.83"/>
    <x v="0"/>
    <n v="0.68"/>
    <n v="0.53"/>
    <n v="61.54"/>
    <n v="15.38"/>
    <n v="23.08"/>
    <n v="25"/>
    <x v="2"/>
    <n v="41.67"/>
    <n v="1"/>
    <x v="4"/>
    <n v="1"/>
    <n v="1.65"/>
    <n v="2"/>
    <n v="1"/>
    <x v="0"/>
  </r>
  <r>
    <x v="111"/>
    <x v="22"/>
    <d v="1899-12-30T16:30:00"/>
    <x v="6"/>
    <n v="26"/>
    <s v="Frosinone"/>
    <s v="Empoli"/>
    <s v="Odds=1.43/2.83"/>
    <x v="0"/>
    <n v="1.1000000000000001"/>
    <n v="0.52"/>
    <n v="63.64"/>
    <n v="18.18"/>
    <n v="18.18"/>
    <n v="36.36"/>
    <x v="15"/>
    <n v="63.64"/>
    <n v="1"/>
    <x v="13"/>
    <n v="1"/>
    <n v="-1"/>
    <n v="2"/>
    <n v="2"/>
    <x v="1"/>
  </r>
  <r>
    <x v="112"/>
    <x v="22"/>
    <d v="1899-12-30T17:00:00"/>
    <x v="2"/>
    <n v="25"/>
    <s v="Athletic Club Bilbao"/>
    <s v="Elche CF"/>
    <s v="Odds=1.43/2.83"/>
    <x v="0"/>
    <n v="0.61"/>
    <n v="0.52"/>
    <n v="50"/>
    <n v="16.670000000000002"/>
    <n v="33.33"/>
    <n v="0"/>
    <x v="4"/>
    <n v="63.64"/>
    <n v="1"/>
    <x v="23"/>
    <n v="1"/>
    <n v="0.71"/>
    <n v="2"/>
    <n v="1"/>
    <x v="0"/>
  </r>
  <r>
    <x v="113"/>
    <x v="23"/>
    <d v="1899-12-30T09:00:00"/>
    <x v="12"/>
    <n v="23"/>
    <s v="Darmstadt 98"/>
    <s v="Fortuna Düsseldorf"/>
    <s v="Odds=1.43/2.83"/>
    <x v="0"/>
    <n v="1.38"/>
    <n v="0.56999999999999995"/>
    <n v="72.73"/>
    <n v="27.27"/>
    <n v="0"/>
    <n v="30"/>
    <x v="29"/>
    <n v="60"/>
    <n v="1"/>
    <x v="57"/>
    <n v="1"/>
    <n v="1.04"/>
    <n v="2"/>
    <n v="1"/>
    <x v="0"/>
  </r>
  <r>
    <x v="114"/>
    <x v="23"/>
    <d v="1899-12-30T09:30:00"/>
    <x v="11"/>
    <n v="34"/>
    <s v="Plymouth Argyle"/>
    <s v="Cardiff City"/>
    <s v="Odds=1.73/2.93"/>
    <x v="1"/>
    <n v="0.6"/>
    <n v="0.76"/>
    <n v="31.25"/>
    <n v="18.75"/>
    <n v="50"/>
    <n v="46.67"/>
    <x v="2"/>
    <n v="20"/>
    <n v="2"/>
    <x v="66"/>
    <n v="1"/>
    <n v="-1"/>
    <n v="3"/>
    <n v="1"/>
    <x v="0"/>
  </r>
  <r>
    <x v="115"/>
    <x v="23"/>
    <d v="1899-12-30T09:30:00"/>
    <x v="11"/>
    <n v="34"/>
    <s v="Wycombe Wanderers"/>
    <s v="Stevenage"/>
    <s v="Odds=1.43/2.83"/>
    <x v="0"/>
    <n v="1.05"/>
    <n v="0.53"/>
    <n v="56.25"/>
    <n v="18.75"/>
    <n v="25"/>
    <n v="31.25"/>
    <x v="30"/>
    <n v="50"/>
    <n v="1"/>
    <x v="67"/>
    <n v="1"/>
    <n v="1.08"/>
    <n v="2"/>
    <n v="1"/>
    <x v="0"/>
  </r>
  <r>
    <x v="116"/>
    <x v="23"/>
    <d v="1899-12-30T10:00:00"/>
    <x v="13"/>
    <n v="23"/>
    <s v="Alanyaspor"/>
    <s v="İstanbul Başakşehir"/>
    <s v="Odds=1.73/2.93"/>
    <x v="1"/>
    <n v="0.56000000000000005"/>
    <n v="1.03"/>
    <n v="36.36"/>
    <n v="27.27"/>
    <n v="36.36"/>
    <n v="54.55"/>
    <x v="18"/>
    <n v="36.36"/>
    <n v="2"/>
    <x v="68"/>
    <n v="1"/>
    <n v="1.37"/>
    <n v="1"/>
    <n v="2"/>
    <x v="2"/>
  </r>
  <r>
    <x v="117"/>
    <x v="23"/>
    <d v="1899-12-30T10:00:00"/>
    <x v="5"/>
    <n v="25"/>
    <s v="MSV Duisburg"/>
    <s v="Schweinfurt"/>
    <s v="Odds=1.43/2.83"/>
    <x v="0"/>
    <n v="1.31"/>
    <n v="0.4"/>
    <n v="72.73"/>
    <n v="27.27"/>
    <n v="0"/>
    <n v="8.33"/>
    <x v="15"/>
    <n v="91.67"/>
    <n v="1"/>
    <x v="19"/>
    <n v="1"/>
    <n v="0.4"/>
    <n v="3"/>
    <n v="1"/>
    <x v="1"/>
  </r>
  <r>
    <x v="118"/>
    <x v="23"/>
    <d v="1899-12-30T11:00:00"/>
    <x v="17"/>
    <n v="23"/>
    <s v="Hradec Králové"/>
    <s v="Zlín"/>
    <s v="Odds=1.43/2.83"/>
    <x v="0"/>
    <n v="0.94"/>
    <n v="0.48"/>
    <n v="50"/>
    <n v="30"/>
    <n v="20"/>
    <n v="36.36"/>
    <x v="7"/>
    <n v="45.45"/>
    <n v="1"/>
    <x v="69"/>
    <n v="1"/>
    <n v="-1"/>
    <n v="0"/>
    <n v="0"/>
    <x v="1"/>
  </r>
  <r>
    <x v="119"/>
    <x v="23"/>
    <d v="1899-12-30T12:00:00"/>
    <x v="8"/>
    <n v="27"/>
    <s v="Aston Villa"/>
    <s v="Leeds United"/>
    <s v="Odds=1.43/2.83"/>
    <x v="0"/>
    <n v="0.86"/>
    <n v="0.59"/>
    <n v="69.23"/>
    <n v="7.69"/>
    <n v="23.08"/>
    <n v="7.69"/>
    <x v="10"/>
    <n v="53.85"/>
    <n v="1"/>
    <x v="61"/>
    <n v="1"/>
    <n v="-1"/>
    <n v="1"/>
    <n v="1"/>
    <x v="1"/>
  </r>
  <r>
    <x v="120"/>
    <x v="23"/>
    <d v="1899-12-30T12:00:00"/>
    <x v="11"/>
    <n v="34"/>
    <s v="Huddersfield Town"/>
    <s v="Barnsley"/>
    <s v="Odds=1.43/2.83"/>
    <x v="0"/>
    <n v="1.05"/>
    <n v="0.65"/>
    <n v="56.25"/>
    <n v="31.25"/>
    <n v="12.5"/>
    <n v="18.75"/>
    <x v="31"/>
    <n v="37.5"/>
    <n v="1"/>
    <x v="35"/>
    <n v="1"/>
    <n v="0.89"/>
    <n v="2"/>
    <n v="1"/>
    <x v="0"/>
  </r>
  <r>
    <x v="121"/>
    <x v="23"/>
    <d v="1899-12-30T12:00:00"/>
    <x v="11"/>
    <n v="34"/>
    <s v="Stockport County"/>
    <s v="Wigan Athletic"/>
    <s v="Odds=1.43/2.83"/>
    <x v="0"/>
    <n v="0.76"/>
    <n v="0.59"/>
    <n v="50"/>
    <n v="25"/>
    <n v="25"/>
    <n v="12.5"/>
    <x v="31"/>
    <n v="43.75"/>
    <n v="1"/>
    <x v="8"/>
    <n v="1"/>
    <n v="0.68"/>
    <n v="3"/>
    <n v="2"/>
    <x v="0"/>
  </r>
  <r>
    <x v="122"/>
    <x v="23"/>
    <d v="1899-12-30T12:00:00"/>
    <x v="1"/>
    <n v="33"/>
    <s v="Southampton"/>
    <s v="Charlton Athletic"/>
    <s v="Odds=1.43/2.83"/>
    <x v="0"/>
    <n v="0.77"/>
    <n v="0.45"/>
    <n v="46.67"/>
    <n v="33.33"/>
    <n v="20"/>
    <n v="18.75"/>
    <x v="32"/>
    <n v="50"/>
    <n v="1"/>
    <x v="59"/>
    <n v="1"/>
    <n v="-1"/>
    <n v="1"/>
    <n v="1"/>
    <x v="1"/>
  </r>
  <r>
    <x v="123"/>
    <x v="23"/>
    <d v="1899-12-30T12:00:00"/>
    <x v="1"/>
    <n v="33"/>
    <s v="Millwall"/>
    <s v="Portsmouth"/>
    <s v="Odds=1.43/2.83"/>
    <x v="0"/>
    <n v="0.73"/>
    <n v="0.32"/>
    <n v="56.25"/>
    <n v="18.75"/>
    <n v="25"/>
    <n v="13.33"/>
    <x v="12"/>
    <n v="46.67"/>
    <n v="1"/>
    <x v="3"/>
    <n v="1"/>
    <n v="-1"/>
    <n v="1"/>
    <n v="3"/>
    <x v="2"/>
  </r>
  <r>
    <x v="124"/>
    <x v="23"/>
    <d v="1899-12-30T12:00:00"/>
    <x v="11"/>
    <n v="34"/>
    <s v="Luton Town"/>
    <s v="Burton Albion"/>
    <s v="Odds=1.43/2.83"/>
    <x v="0"/>
    <n v="0.77"/>
    <n v="0.53"/>
    <n v="56.25"/>
    <n v="25"/>
    <n v="18.75"/>
    <n v="18.75"/>
    <x v="33"/>
    <n v="43.75"/>
    <n v="1"/>
    <x v="70"/>
    <n v="1"/>
    <n v="-1"/>
    <n v="1"/>
    <n v="1"/>
    <x v="1"/>
  </r>
  <r>
    <x v="125"/>
    <x v="23"/>
    <d v="1899-12-30T12:15:00"/>
    <x v="2"/>
    <n v="25"/>
    <s v="Real Betis"/>
    <s v="Rayo Vallecano"/>
    <s v="Odds=1.43/2.83"/>
    <x v="0"/>
    <n v="1.1299999999999999"/>
    <n v="0.46"/>
    <n v="63.64"/>
    <n v="9.09"/>
    <n v="27.27"/>
    <n v="25"/>
    <x v="19"/>
    <n v="66.67"/>
    <n v="1"/>
    <x v="71"/>
    <n v="1"/>
    <n v="-1"/>
    <n v="1"/>
    <n v="1"/>
    <x v="1"/>
  </r>
  <r>
    <x v="126"/>
    <x v="24"/>
    <d v="1899-12-30T09:30:00"/>
    <x v="12"/>
    <n v="23"/>
    <s v="Hannover 96"/>
    <s v="Dynamo Dresden"/>
    <s v="Odds=1.43/2.83"/>
    <x v="0"/>
    <n v="1.07"/>
    <n v="0.9"/>
    <n v="60"/>
    <n v="10"/>
    <n v="30"/>
    <n v="27.27"/>
    <x v="5"/>
    <n v="45.45"/>
    <n v="1"/>
    <x v="2"/>
    <n v="1"/>
    <n v="-1"/>
    <n v="0"/>
    <n v="0"/>
    <x v="1"/>
  </r>
  <r>
    <x v="127"/>
    <x v="24"/>
    <d v="1899-12-30T10:00:00"/>
    <x v="13"/>
    <n v="23"/>
    <s v="Gaziantep FK"/>
    <s v="Trabzonspor"/>
    <s v="Odds=1.73/2.93"/>
    <x v="1"/>
    <n v="0.78"/>
    <n v="1.19"/>
    <n v="36.36"/>
    <n v="27.27"/>
    <n v="36.36"/>
    <n v="63.64"/>
    <x v="7"/>
    <n v="18.18"/>
    <n v="2"/>
    <x v="72"/>
    <n v="1"/>
    <n v="0.98"/>
    <n v="1"/>
    <n v="2"/>
    <x v="2"/>
  </r>
  <r>
    <x v="128"/>
    <x v="24"/>
    <d v="1899-12-30T10:00:00"/>
    <x v="3"/>
    <n v="27"/>
    <s v="Sporting Gijón"/>
    <s v="Real Valladolid"/>
    <s v="Odds=1.43/2.83"/>
    <x v="0"/>
    <n v="0.82"/>
    <n v="0.51"/>
    <n v="53.85"/>
    <n v="23.08"/>
    <n v="23.08"/>
    <n v="30.77"/>
    <x v="25"/>
    <n v="46.15"/>
    <n v="1"/>
    <x v="73"/>
    <n v="1"/>
    <n v="-1"/>
    <n v="2"/>
    <n v="2"/>
    <x v="1"/>
  </r>
  <r>
    <x v="129"/>
    <x v="24"/>
    <d v="1899-12-30T10:00:00"/>
    <x v="4"/>
    <n v="28"/>
    <s v="Argeș"/>
    <s v="SSC Farul"/>
    <s v="Odds=1.43/2.83"/>
    <x v="0"/>
    <n v="0.63"/>
    <n v="0.56000000000000005"/>
    <n v="53.85"/>
    <n v="15.38"/>
    <n v="30.77"/>
    <n v="23.08"/>
    <x v="25"/>
    <n v="53.85"/>
    <n v="1"/>
    <x v="74"/>
    <n v="1"/>
    <n v="1.26"/>
    <n v="1"/>
    <n v="0"/>
    <x v="0"/>
  </r>
  <r>
    <x v="130"/>
    <x v="24"/>
    <d v="1899-12-30T10:30:00"/>
    <x v="7"/>
    <n v="24"/>
    <s v="Utrecht"/>
    <s v="PEC Zwolle"/>
    <s v="Odds=1.43/2.83"/>
    <x v="0"/>
    <n v="0.98"/>
    <n v="0.91"/>
    <n v="45.45"/>
    <n v="18.18"/>
    <n v="36.36"/>
    <n v="8.33"/>
    <x v="2"/>
    <n v="58.33"/>
    <n v="1"/>
    <x v="75"/>
    <n v="1"/>
    <n v="-1"/>
    <n v="1"/>
    <n v="1"/>
    <x v="1"/>
  </r>
  <r>
    <x v="131"/>
    <x v="24"/>
    <d v="1899-12-30T11:00:00"/>
    <x v="8"/>
    <n v="27"/>
    <s v="Nottingham Forest"/>
    <s v="Liverpool"/>
    <s v="Odds=1.73/2.93"/>
    <x v="1"/>
    <n v="0.56000000000000005"/>
    <n v="0.96"/>
    <n v="23.08"/>
    <n v="30.77"/>
    <n v="46.15"/>
    <n v="38.46"/>
    <x v="25"/>
    <n v="38.46"/>
    <n v="2"/>
    <x v="76"/>
    <n v="1"/>
    <n v="0.92"/>
    <n v="0"/>
    <n v="1"/>
    <x v="2"/>
  </r>
  <r>
    <x v="132"/>
    <x v="24"/>
    <d v="1899-12-30T11:30:00"/>
    <x v="14"/>
    <n v="23"/>
    <s v="Freiburg"/>
    <s v="Borussia M'gladbach"/>
    <s v="Odds=1.43/2.83"/>
    <x v="0"/>
    <n v="1.1399999999999999"/>
    <n v="0.68"/>
    <n v="60"/>
    <n v="30"/>
    <n v="10"/>
    <n v="27.27"/>
    <x v="5"/>
    <n v="45.45"/>
    <n v="1"/>
    <x v="67"/>
    <n v="1"/>
    <n v="1.08"/>
    <n v="2"/>
    <n v="1"/>
    <x v="0"/>
  </r>
  <r>
    <x v="133"/>
    <x v="24"/>
    <d v="1899-12-30T14:00:00"/>
    <x v="13"/>
    <n v="23"/>
    <s v="Fatih Karagümrük"/>
    <s v="Samsunspor"/>
    <s v="Odds=1.73/2.93"/>
    <x v="1"/>
    <n v="0.53"/>
    <n v="0.84"/>
    <n v="18.18"/>
    <n v="18.18"/>
    <n v="63.64"/>
    <n v="36.36"/>
    <x v="4"/>
    <n v="27.27"/>
    <n v="2"/>
    <x v="77"/>
    <n v="1"/>
    <n v="-1"/>
    <n v="0"/>
    <n v="0"/>
    <x v="1"/>
  </r>
  <r>
    <x v="134"/>
    <x v="24"/>
    <d v="1899-12-30T14:30:00"/>
    <x v="3"/>
    <n v="27"/>
    <s v="Racing Santander"/>
    <s v="Burgos CF"/>
    <s v="Odds=1.43/2.83"/>
    <x v="0"/>
    <n v="1.36"/>
    <n v="0.54"/>
    <n v="61.54"/>
    <n v="15.38"/>
    <n v="23.08"/>
    <n v="41.67"/>
    <x v="24"/>
    <n v="41.67"/>
    <n v="1"/>
    <x v="78"/>
    <n v="1"/>
    <n v="1.01"/>
    <n v="1"/>
    <n v="0"/>
    <x v="0"/>
  </r>
  <r>
    <x v="135"/>
    <x v="24"/>
    <d v="1899-12-30T17:00:00"/>
    <x v="2"/>
    <n v="25"/>
    <s v="Villarreal"/>
    <s v="Valencia CF"/>
    <s v="Odds=1.43/2.83"/>
    <x v="0"/>
    <n v="1.25"/>
    <n v="0.44"/>
    <n v="75"/>
    <n v="8.33"/>
    <n v="16.670000000000002"/>
    <n v="16.670000000000002"/>
    <x v="17"/>
    <n v="58.33"/>
    <n v="1"/>
    <x v="39"/>
    <n v="1"/>
    <n v="0.72"/>
    <n v="2"/>
    <n v="1"/>
    <x v="0"/>
  </r>
  <r>
    <x v="136"/>
    <x v="25"/>
    <d v="1899-12-30T16:45:00"/>
    <x v="1"/>
    <n v="34"/>
    <s v="Middlesbrough"/>
    <s v="Leicester City"/>
    <s v="Odds=1.43/2.83"/>
    <x v="0"/>
    <n v="0.87"/>
    <n v="0.75"/>
    <n v="62.5"/>
    <n v="25"/>
    <n v="12.5"/>
    <n v="23.53"/>
    <x v="34"/>
    <n v="47.06"/>
    <n v="1"/>
    <x v="60"/>
    <n v="1"/>
    <n v="-1"/>
    <n v="1"/>
    <n v="1"/>
    <x v="1"/>
  </r>
  <r>
    <x v="137"/>
    <x v="26"/>
    <d v="1899-12-30T16:45:00"/>
    <x v="1"/>
    <n v="34"/>
    <s v="Millwall"/>
    <s v="Birmingham City"/>
    <s v="Odds=1.43/2.83"/>
    <x v="0"/>
    <n v="0.72"/>
    <n v="0.48"/>
    <n v="52.94"/>
    <n v="17.649999999999999"/>
    <n v="29.41"/>
    <n v="29.41"/>
    <x v="35"/>
    <n v="52.94"/>
    <n v="1"/>
    <x v="79"/>
    <n v="1"/>
    <n v="1.73"/>
    <n v="3"/>
    <n v="0"/>
    <x v="0"/>
  </r>
  <r>
    <x v="138"/>
    <x v="27"/>
    <d v="1899-12-30T17:00:00"/>
    <x v="8"/>
    <n v="28"/>
    <s v="Wolverhampton Wanderers"/>
    <s v="Aston Villa"/>
    <s v="Odds=1.73/2.93"/>
    <x v="1"/>
    <n v="0.48"/>
    <n v="0.83"/>
    <n v="7.69"/>
    <n v="15.38"/>
    <n v="76.92"/>
    <n v="46.15"/>
    <x v="6"/>
    <n v="23.08"/>
    <n v="2"/>
    <x v="26"/>
    <n v="1"/>
    <n v="-1"/>
    <n v="2"/>
    <n v="0"/>
    <x v="0"/>
  </r>
  <r>
    <x v="139"/>
    <x v="27"/>
    <d v="1899-12-30T16:00:00"/>
    <x v="16"/>
    <n v="25"/>
    <s v="Clermont"/>
    <s v="Dunkerque"/>
    <s v="Odds=1.73/2.93"/>
    <x v="1"/>
    <n v="0.63"/>
    <n v="0.91"/>
    <n v="27.27"/>
    <n v="36.36"/>
    <n v="36.36"/>
    <n v="45.45"/>
    <x v="5"/>
    <n v="27.27"/>
    <n v="2"/>
    <x v="80"/>
    <n v="1"/>
    <n v="-1"/>
    <n v="2"/>
    <n v="1"/>
    <x v="0"/>
  </r>
  <r>
    <x v="140"/>
    <x v="27"/>
    <d v="1899-12-30T16:00:00"/>
    <x v="10"/>
    <n v="29"/>
    <s v="Oss"/>
    <s v="Cambuur"/>
    <s v="Odds=1.73/2.93"/>
    <x v="1"/>
    <n v="0.96"/>
    <n v="1.1200000000000001"/>
    <n v="21.43"/>
    <n v="21.43"/>
    <n v="57.14"/>
    <n v="50"/>
    <x v="1"/>
    <n v="21.43"/>
    <n v="2"/>
    <x v="13"/>
    <n v="1"/>
    <n v="0.78"/>
    <n v="0"/>
    <n v="2"/>
    <x v="2"/>
  </r>
  <r>
    <x v="141"/>
    <x v="27"/>
    <d v="1899-12-30T17:00:00"/>
    <x v="6"/>
    <n v="27"/>
    <s v="Sampdoria"/>
    <s v="Bari 1908"/>
    <s v="Odds=1.43/2.83"/>
    <x v="0"/>
    <n v="0.7"/>
    <n v="0.35"/>
    <n v="46.15"/>
    <n v="30.77"/>
    <n v="23.08"/>
    <n v="7.69"/>
    <x v="10"/>
    <n v="53.85"/>
    <n v="1"/>
    <x v="81"/>
    <n v="1"/>
    <n v="-1"/>
    <n v="0"/>
    <n v="1"/>
    <x v="2"/>
  </r>
  <r>
    <x v="142"/>
    <x v="28"/>
    <d v="1899-12-30T09:00:00"/>
    <x v="12"/>
    <n v="24"/>
    <s v="Holstein Kiel"/>
    <s v="Elversberg"/>
    <s v="Odds=1.73/2.93"/>
    <x v="1"/>
    <n v="0.74"/>
    <n v="1.23"/>
    <n v="36.36"/>
    <n v="18.18"/>
    <n v="45.45"/>
    <n v="54.55"/>
    <x v="18"/>
    <n v="36.36"/>
    <n v="2"/>
    <x v="82"/>
    <n v="1"/>
    <n v="-1"/>
    <n v="1"/>
    <n v="1"/>
    <x v="1"/>
  </r>
  <r>
    <x v="143"/>
    <x v="28"/>
    <d v="1899-12-30T10:00:00"/>
    <x v="5"/>
    <n v="26"/>
    <s v="Erzgebirge Aue"/>
    <s v="Osnabrück"/>
    <s v="Odds=1.73/2.93"/>
    <x v="1"/>
    <n v="0.82"/>
    <n v="1.1399999999999999"/>
    <n v="30.77"/>
    <n v="38.46"/>
    <n v="30.77"/>
    <n v="58.33"/>
    <x v="17"/>
    <n v="16.670000000000002"/>
    <n v="2"/>
    <x v="83"/>
    <n v="1"/>
    <n v="1.28"/>
    <n v="1"/>
    <n v="3"/>
    <x v="2"/>
  </r>
  <r>
    <x v="144"/>
    <x v="28"/>
    <d v="1899-12-30T10:00:00"/>
    <x v="5"/>
    <n v="26"/>
    <s v="Viktoria Köln"/>
    <s v="Stuttgart II"/>
    <s v="Odds=1.43/2.83"/>
    <x v="0"/>
    <n v="0.96"/>
    <n v="0.77"/>
    <n v="46.15"/>
    <n v="23.08"/>
    <n v="30.77"/>
    <n v="30.77"/>
    <x v="25"/>
    <n v="46.15"/>
    <n v="1"/>
    <x v="84"/>
    <n v="1"/>
    <n v="1.68"/>
    <n v="2"/>
    <n v="0"/>
    <x v="0"/>
  </r>
  <r>
    <x v="145"/>
    <x v="28"/>
    <d v="1899-12-30T11:00:00"/>
    <x v="17"/>
    <n v="24"/>
    <s v="Slovan Liberec"/>
    <s v="Hradec Králové"/>
    <s v="Odds=1.43/2.83"/>
    <x v="0"/>
    <n v="0.82"/>
    <n v="0.78"/>
    <n v="54.55"/>
    <n v="27.27"/>
    <n v="18.18"/>
    <n v="25"/>
    <x v="17"/>
    <n v="50"/>
    <n v="1"/>
    <x v="47"/>
    <n v="1"/>
    <n v="-1"/>
    <n v="0"/>
    <n v="1"/>
    <x v="2"/>
  </r>
  <r>
    <x v="146"/>
    <x v="28"/>
    <d v="1899-12-30T11:30:00"/>
    <x v="14"/>
    <n v="24"/>
    <s v="Bayer Leverkusen"/>
    <s v="Mainz 05"/>
    <s v="Odds=1.43/2.83"/>
    <x v="0"/>
    <n v="1.31"/>
    <n v="0.69"/>
    <n v="63.64"/>
    <n v="9.09"/>
    <n v="27.27"/>
    <n v="18.18"/>
    <x v="5"/>
    <n v="54.55"/>
    <n v="1"/>
    <x v="39"/>
    <n v="1"/>
    <n v="-1"/>
    <n v="1"/>
    <n v="1"/>
    <x v="1"/>
  </r>
  <r>
    <x v="147"/>
    <x v="28"/>
    <d v="1899-12-30T12:00:00"/>
    <x v="8"/>
    <n v="28"/>
    <s v="Liverpool"/>
    <s v="West Ham United"/>
    <s v="Odds=1.43/2.83"/>
    <x v="0"/>
    <n v="0.99"/>
    <n v="0.75"/>
    <n v="53.85"/>
    <n v="23.08"/>
    <n v="23.08"/>
    <n v="25"/>
    <x v="2"/>
    <n v="41.67"/>
    <n v="1"/>
    <x v="85"/>
    <n v="1"/>
    <n v="0.43"/>
    <n v="4"/>
    <n v="2"/>
    <x v="0"/>
  </r>
  <r>
    <x v="148"/>
    <x v="28"/>
    <d v="1899-12-30T12:00:00"/>
    <x v="11"/>
    <n v="35"/>
    <s v="Lincoln City"/>
    <s v="Blackpool"/>
    <s v="Odds=1.43/2.83"/>
    <x v="0"/>
    <n v="1.1299999999999999"/>
    <n v="0.52"/>
    <n v="70.59"/>
    <n v="23.53"/>
    <n v="5.88"/>
    <n v="18.75"/>
    <x v="30"/>
    <n v="62.5"/>
    <n v="1"/>
    <x v="85"/>
    <n v="1"/>
    <n v="0.43"/>
    <n v="4"/>
    <n v="0"/>
    <x v="0"/>
  </r>
  <r>
    <x v="149"/>
    <x v="28"/>
    <d v="1899-12-30T12:00:00"/>
    <x v="11"/>
    <n v="35"/>
    <s v="Wycombe Wanderers"/>
    <s v="Burton Albion"/>
    <s v="Odds=1.43/2.83"/>
    <x v="0"/>
    <n v="1.07"/>
    <n v="0.53"/>
    <n v="58.82"/>
    <n v="17.649999999999999"/>
    <n v="23.53"/>
    <n v="17.649999999999999"/>
    <x v="36"/>
    <n v="41.18"/>
    <n v="1"/>
    <x v="20"/>
    <n v="1"/>
    <n v="0.8"/>
    <n v="3"/>
    <n v="0"/>
    <x v="0"/>
  </r>
  <r>
    <x v="150"/>
    <x v="28"/>
    <d v="1899-12-30T14:00:00"/>
    <x v="15"/>
    <n v="27"/>
    <s v="Hellas Verona"/>
    <s v="Napoli"/>
    <s v="Odds=1.73/2.93"/>
    <x v="1"/>
    <n v="0.46"/>
    <n v="0.63"/>
    <n v="8.33"/>
    <n v="33.33"/>
    <n v="58.33"/>
    <n v="50"/>
    <x v="22"/>
    <n v="42.86"/>
    <n v="2"/>
    <x v="44"/>
    <n v="1"/>
    <n v="0.63"/>
    <n v="1"/>
    <n v="2"/>
    <x v="2"/>
  </r>
  <r>
    <x v="151"/>
    <x v="28"/>
    <d v="1899-12-30T14:15:00"/>
    <x v="9"/>
    <n v="27"/>
    <s v="Royal Antwerp FC"/>
    <s v="Sint-Truiden"/>
    <s v="Odds=1.73/2.93"/>
    <x v="1"/>
    <n v="0.86"/>
    <n v="1.1399999999999999"/>
    <n v="38.46"/>
    <n v="23.08"/>
    <n v="38.46"/>
    <n v="61.54"/>
    <x v="37"/>
    <n v="23.08"/>
    <n v="2"/>
    <x v="16"/>
    <n v="1"/>
    <n v="-1"/>
    <n v="1"/>
    <n v="0"/>
    <x v="0"/>
  </r>
  <r>
    <x v="152"/>
    <x v="28"/>
    <d v="1899-12-30T15:00:00"/>
    <x v="0"/>
    <n v="24"/>
    <s v="Monaco"/>
    <s v="Angers SCO"/>
    <s v="Odds=1.43/2.83"/>
    <x v="0"/>
    <n v="1.3"/>
    <n v="0.27"/>
    <n v="58.33"/>
    <n v="8.33"/>
    <n v="33.33"/>
    <n v="18.18"/>
    <x v="5"/>
    <n v="54.55"/>
    <n v="1"/>
    <x v="62"/>
    <n v="1"/>
    <n v="0.48"/>
    <n v="2"/>
    <n v="0"/>
    <x v="0"/>
  </r>
  <r>
    <x v="153"/>
    <x v="28"/>
    <d v="1899-12-30T16:45:00"/>
    <x v="9"/>
    <n v="27"/>
    <s v="RSC Anderlecht"/>
    <s v="OH Leuven"/>
    <s v="Odds=1.43/2.83"/>
    <x v="0"/>
    <n v="0.85"/>
    <n v="0.49"/>
    <n v="53.85"/>
    <n v="30.77"/>
    <n v="15.38"/>
    <n v="30.77"/>
    <x v="37"/>
    <n v="53.85"/>
    <n v="1"/>
    <x v="81"/>
    <n v="1"/>
    <n v="0.75"/>
    <n v="3"/>
    <n v="1"/>
    <x v="0"/>
  </r>
  <r>
    <x v="154"/>
    <x v="29"/>
    <d v="1899-12-30T11:30:00"/>
    <x v="14"/>
    <n v="24"/>
    <s v="Stuttgart"/>
    <s v="Wolfsburg"/>
    <s v="Odds=1.43/2.83"/>
    <x v="0"/>
    <n v="0.98"/>
    <n v="0.81"/>
    <n v="72.73"/>
    <n v="18.18"/>
    <n v="9.09"/>
    <n v="27.27"/>
    <x v="7"/>
    <n v="54.55"/>
    <n v="1"/>
    <x v="19"/>
    <n v="1"/>
    <n v="0.4"/>
    <n v="3"/>
    <n v="0"/>
    <x v="0"/>
  </r>
  <r>
    <x v="154"/>
    <x v="29"/>
    <d v="1899-12-30T12:15:00"/>
    <x v="3"/>
    <n v="28"/>
    <s v="Sporting Gijón"/>
    <s v="Leganés"/>
    <s v="Odds=1.43/2.83"/>
    <x v="0"/>
    <n v="0.83"/>
    <n v="0.59"/>
    <n v="50"/>
    <n v="28.57"/>
    <n v="21.43"/>
    <n v="28.57"/>
    <x v="14"/>
    <n v="35.71"/>
    <n v="1"/>
    <x v="12"/>
    <n v="1"/>
    <m/>
    <m/>
    <m/>
    <x v="3"/>
  </r>
  <r>
    <x v="154"/>
    <x v="29"/>
    <d v="1899-12-30T12:30:00"/>
    <x v="5"/>
    <n v="26"/>
    <s v="MSV Duisburg"/>
    <s v="Havelse"/>
    <s v="Odds=1.43/2.83"/>
    <x v="0"/>
    <n v="1.35"/>
    <n v="0.84"/>
    <n v="75"/>
    <n v="25"/>
    <n v="0"/>
    <n v="8.33"/>
    <x v="17"/>
    <n v="66.67"/>
    <n v="1"/>
    <x v="86"/>
    <n v="1"/>
    <n v="-1"/>
    <n v="1"/>
    <n v="1"/>
    <x v="1"/>
  </r>
  <r>
    <x v="154"/>
    <x v="29"/>
    <d v="1899-12-30T13:15:00"/>
    <x v="0"/>
    <n v="24"/>
    <s v="Lille"/>
    <s v="Nantes"/>
    <s v="Odds=1.43/2.83"/>
    <x v="0"/>
    <n v="0.91"/>
    <n v="0.49"/>
    <n v="54.55"/>
    <n v="18.18"/>
    <n v="27.27"/>
    <n v="18.18"/>
    <x v="5"/>
    <n v="54.55"/>
    <n v="1"/>
    <x v="22"/>
    <n v="1"/>
    <n v="0.57999999999999996"/>
    <n v="1"/>
    <n v="0"/>
    <x v="0"/>
  </r>
  <r>
    <x v="154"/>
    <x v="29"/>
    <d v="1899-12-30T13:30:00"/>
    <x v="14"/>
    <n v="24"/>
    <s v="Eintracht Frankfurt"/>
    <s v="Freiburg"/>
    <s v="Odds=1.43/2.83"/>
    <x v="0"/>
    <n v="1.1399999999999999"/>
    <n v="0.65"/>
    <n v="45.45"/>
    <n v="18.18"/>
    <n v="36.36"/>
    <n v="16.670000000000002"/>
    <x v="17"/>
    <n v="58.33"/>
    <n v="1"/>
    <x v="37"/>
    <n v="1"/>
    <m/>
    <m/>
    <m/>
    <x v="3"/>
  </r>
  <r>
    <x v="154"/>
    <x v="29"/>
    <d v="1899-12-30T14:30:00"/>
    <x v="17"/>
    <n v="24"/>
    <s v="Sigma Olomouc"/>
    <s v="Bohemians 1905"/>
    <s v="Odds=1.43/2.83"/>
    <x v="0"/>
    <n v="0.51"/>
    <n v="0.62"/>
    <n v="54.55"/>
    <n v="27.27"/>
    <n v="18.18"/>
    <n v="36.36"/>
    <x v="5"/>
    <n v="36.36"/>
    <n v="1"/>
    <x v="87"/>
    <n v="1"/>
    <m/>
    <m/>
    <m/>
    <x v="3"/>
  </r>
  <r>
    <x v="154"/>
    <x v="29"/>
    <d v="1899-12-30T14:30:00"/>
    <x v="2"/>
    <n v="26"/>
    <s v="Real Betis"/>
    <s v="Sevilla FC"/>
    <s v="Odds=1.43/2.83"/>
    <x v="0"/>
    <n v="1.0900000000000001"/>
    <n v="0.6"/>
    <n v="58.33"/>
    <n v="16.670000000000002"/>
    <n v="25"/>
    <n v="33.33"/>
    <x v="24"/>
    <n v="50"/>
    <n v="1"/>
    <x v="30"/>
    <n v="1"/>
    <m/>
    <m/>
    <m/>
    <x v="3"/>
  </r>
  <r>
    <x v="154"/>
    <x v="29"/>
    <d v="1899-12-30T17:00:00"/>
    <x v="2"/>
    <n v="26"/>
    <s v="Girona FC"/>
    <s v="Celta de Vigo"/>
    <s v="Odds=1.73/2.93"/>
    <x v="1"/>
    <n v="0.56000000000000005"/>
    <n v="0.68"/>
    <n v="33.33"/>
    <n v="33.33"/>
    <n v="33.33"/>
    <n v="41.67"/>
    <x v="28"/>
    <n v="16.670000000000002"/>
    <n v="2"/>
    <x v="87"/>
    <n v="1"/>
    <m/>
    <m/>
    <m/>
    <x v="3"/>
  </r>
  <r>
    <x v="154"/>
    <x v="29"/>
    <d v="1899-12-30T17:30:00"/>
    <x v="18"/>
    <n v="24"/>
    <s v="Rio Ave FC"/>
    <s v="Famalicão"/>
    <s v="Odds=1.73/2.93"/>
    <x v="1"/>
    <n v="0.54"/>
    <n v="0.39"/>
    <n v="18.18"/>
    <n v="27.27"/>
    <n v="54.55"/>
    <n v="36.36"/>
    <x v="5"/>
    <n v="36.36"/>
    <n v="2"/>
    <x v="87"/>
    <n v="1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E2931-3992-4AAB-AE0D-CCC91179F2D9}" name="Tabela dinâ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 rowHeaderCaption="INDICI">
  <location ref="BC2:BD95" firstHeaderRow="1" firstDataRow="1" firstDataCol="1"/>
  <pivotFields count="26">
    <pivotField axis="axisRow" showAll="0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umFmtId="14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m="1" x="30"/>
        <item x="25"/>
        <item x="26"/>
        <item x="27"/>
        <item x="28"/>
        <item h="1" x="2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9">
        <item x="19"/>
        <item x="86"/>
        <item x="85"/>
        <item x="21"/>
        <item x="9"/>
        <item x="2"/>
        <item x="48"/>
        <item x="62"/>
        <item x="32"/>
        <item x="60"/>
        <item x="27"/>
        <item x="50"/>
        <item x="56"/>
        <item x="59"/>
        <item x="24"/>
        <item x="22"/>
        <item x="18"/>
        <item x="53"/>
        <item x="44"/>
        <item x="10"/>
        <item x="75"/>
        <item x="40"/>
        <item x="65"/>
        <item x="8"/>
        <item x="52"/>
        <item x="23"/>
        <item x="39"/>
        <item x="30"/>
        <item x="81"/>
        <item x="64"/>
        <item x="11"/>
        <item x="13"/>
        <item x="26"/>
        <item x="20"/>
        <item x="51"/>
        <item x="54"/>
        <item x="3"/>
        <item x="69"/>
        <item x="47"/>
        <item x="0"/>
        <item x="61"/>
        <item x="35"/>
        <item x="36"/>
        <item x="76"/>
        <item x="71"/>
        <item x="25"/>
        <item x="12"/>
        <item x="72"/>
        <item x="14"/>
        <item x="78"/>
        <item x="31"/>
        <item x="57"/>
        <item x="73"/>
        <item x="28"/>
        <item x="67"/>
        <item x="1"/>
        <item x="33"/>
        <item x="46"/>
        <item x="82"/>
        <item x="43"/>
        <item x="16"/>
        <item x="38"/>
        <item x="49"/>
        <item x="58"/>
        <item x="34"/>
        <item x="7"/>
        <item x="74"/>
        <item x="83"/>
        <item x="37"/>
        <item x="45"/>
        <item x="5"/>
        <item x="66"/>
        <item x="68"/>
        <item x="63"/>
        <item x="42"/>
        <item x="6"/>
        <item x="77"/>
        <item x="41"/>
        <item x="55"/>
        <item x="29"/>
        <item x="4"/>
        <item x="80"/>
        <item x="84"/>
        <item x="17"/>
        <item x="79"/>
        <item x="15"/>
        <item x="70"/>
        <item x="87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93"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rowItems>
  <colItems count="1">
    <i/>
  </colItems>
  <dataFields count="1">
    <dataField name="PL" fld="20" showDataAs="runTotal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B39DB-8796-4EAF-B48B-A00C48653455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LIGA">
  <location ref="AI2:AL73" firstHeaderRow="0" firstDataRow="1" firstDataCol="1"/>
  <pivotFields count="26">
    <pivotField showAll="0"/>
    <pivotField numFmtId="14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m="1" x="30"/>
        <item x="25"/>
        <item x="26"/>
        <item x="27"/>
        <item x="28"/>
        <item h="1"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71">
    <i>
      <x v="2"/>
    </i>
    <i>
      <x v="3"/>
    </i>
    <i>
      <x v="4"/>
    </i>
    <i>
      <x v="7"/>
    </i>
    <i>
      <x v="8"/>
    </i>
    <i>
      <x v="11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8"/>
    </i>
    <i>
      <x v="30"/>
    </i>
    <i>
      <x v="31"/>
    </i>
    <i>
      <x v="32"/>
    </i>
    <i>
      <x v="35"/>
    </i>
    <i>
      <x v="36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" fld="3" subtotal="count" baseField="0" baseItem="0"/>
    <dataField name="Média de odds_Ap" fld="18" subtotal="average" baseField="18" baseItem="0" numFmtId="2"/>
    <dataField name="P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1ED53-6CF8-410D-B1B3-3CC75D03CCA1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LIGA">
  <location ref="BH2:BL13" firstHeaderRow="0" firstDataRow="1" firstDataCol="1"/>
  <pivotFields count="26">
    <pivotField showAll="0"/>
    <pivotField numFmtId="14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m="1" x="30"/>
        <item x="25"/>
        <item x="26"/>
        <item x="27"/>
        <item x="28"/>
        <item h="1"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dataField="1" showAll="0">
      <items count="89">
        <item x="19"/>
        <item x="86"/>
        <item x="85"/>
        <item x="21"/>
        <item x="9"/>
        <item x="2"/>
        <item x="48"/>
        <item x="62"/>
        <item x="32"/>
        <item x="60"/>
        <item x="27"/>
        <item x="50"/>
        <item x="56"/>
        <item x="59"/>
        <item x="24"/>
        <item x="22"/>
        <item x="18"/>
        <item x="53"/>
        <item x="44"/>
        <item x="10"/>
        <item x="75"/>
        <item x="40"/>
        <item x="65"/>
        <item x="8"/>
        <item x="52"/>
        <item x="23"/>
        <item x="39"/>
        <item x="30"/>
        <item x="81"/>
        <item x="64"/>
        <item x="11"/>
        <item x="13"/>
        <item x="26"/>
        <item x="20"/>
        <item x="51"/>
        <item x="54"/>
        <item x="3"/>
        <item x="69"/>
        <item x="47"/>
        <item x="0"/>
        <item x="61"/>
        <item x="35"/>
        <item x="36"/>
        <item x="76"/>
        <item x="71"/>
        <item x="25"/>
        <item x="12"/>
        <item x="72"/>
        <item x="14"/>
        <item x="78"/>
        <item x="31"/>
        <item x="57"/>
        <item x="73"/>
        <item x="28"/>
        <item x="67"/>
        <item x="1"/>
        <item x="33"/>
        <item x="46"/>
        <item x="82"/>
        <item x="43"/>
        <item x="16"/>
        <item x="38"/>
        <item x="49"/>
        <item x="58"/>
        <item x="34"/>
        <item x="7"/>
        <item x="74"/>
        <item x="83"/>
        <item x="37"/>
        <item x="45"/>
        <item x="5"/>
        <item x="66"/>
        <item x="68"/>
        <item x="63"/>
        <item x="42"/>
        <item x="6"/>
        <item x="77"/>
        <item x="41"/>
        <item x="55"/>
        <item x="29"/>
        <item x="4"/>
        <item x="80"/>
        <item x="84"/>
        <item x="17"/>
        <item x="79"/>
        <item x="15"/>
        <item x="70"/>
        <item x="87"/>
        <item t="default"/>
      </items>
    </pivotField>
    <pivotField showAll="0"/>
    <pivotField dataField="1"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" fld="3" subtotal="count" baseField="0" baseItem="0"/>
    <dataField name="Win-rate" fld="23" subtotal="count" showDataAs="percentOfTotal" baseField="23" baseItem="0" numFmtId="10"/>
    <dataField name="Média de odds_Ap" fld="18" subtotal="average" baseField="18" baseItem="0" numFmtId="2"/>
    <dataField name="P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3FC26-C837-4994-8532-857938370F2D}" name="Tabela dinâmica1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LIGA">
  <location ref="AN2:AR5" firstHeaderRow="0" firstDataRow="1" firstDataCol="1"/>
  <pivotFields count="26">
    <pivotField showAll="0"/>
    <pivotField numFmtId="14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m="1" x="30"/>
        <item x="25"/>
        <item x="26"/>
        <item x="27"/>
        <item x="28"/>
        <item h="1"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9">
        <item x="19"/>
        <item x="86"/>
        <item x="85"/>
        <item x="21"/>
        <item x="9"/>
        <item x="2"/>
        <item x="48"/>
        <item x="62"/>
        <item x="32"/>
        <item x="60"/>
        <item x="27"/>
        <item x="50"/>
        <item x="56"/>
        <item x="59"/>
        <item x="24"/>
        <item x="22"/>
        <item x="18"/>
        <item x="53"/>
        <item x="44"/>
        <item x="10"/>
        <item x="75"/>
        <item x="40"/>
        <item x="65"/>
        <item x="8"/>
        <item x="52"/>
        <item x="23"/>
        <item x="39"/>
        <item x="30"/>
        <item x="81"/>
        <item x="64"/>
        <item x="11"/>
        <item x="13"/>
        <item x="26"/>
        <item x="20"/>
        <item x="51"/>
        <item x="54"/>
        <item x="3"/>
        <item x="69"/>
        <item x="47"/>
        <item x="0"/>
        <item x="61"/>
        <item x="35"/>
        <item x="36"/>
        <item x="76"/>
        <item x="71"/>
        <item x="25"/>
        <item x="12"/>
        <item x="72"/>
        <item x="14"/>
        <item x="78"/>
        <item x="31"/>
        <item x="57"/>
        <item x="73"/>
        <item x="28"/>
        <item x="67"/>
        <item x="1"/>
        <item x="33"/>
        <item x="46"/>
        <item x="82"/>
        <item x="43"/>
        <item x="16"/>
        <item x="38"/>
        <item x="49"/>
        <item x="58"/>
        <item x="34"/>
        <item x="7"/>
        <item x="74"/>
        <item x="83"/>
        <item x="37"/>
        <item x="45"/>
        <item x="5"/>
        <item x="66"/>
        <item x="68"/>
        <item x="63"/>
        <item x="42"/>
        <item x="6"/>
        <item x="77"/>
        <item x="41"/>
        <item x="55"/>
        <item x="29"/>
        <item x="4"/>
        <item x="80"/>
        <item x="84"/>
        <item x="17"/>
        <item x="79"/>
        <item x="15"/>
        <item x="70"/>
        <item x="87"/>
        <item t="default"/>
      </items>
    </pivotField>
    <pivotField showAll="0"/>
    <pivotField dataField="1"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" fld="3" subtotal="count" baseField="0" baseItem="0"/>
    <dataField name="Win-rate" fld="23" subtotal="count" showDataAs="percentOfTotal" baseField="23" baseItem="0" numFmtId="10"/>
    <dataField name="Média de odds_Ap" fld="18" subtotal="average" baseField="18" baseItem="0" numFmtId="2"/>
    <dataField name="P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EFBFF-D134-414C-8324-FD1A2E66E9F9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LIGA">
  <location ref="Z10:AB12" firstHeaderRow="0" firstDataRow="1" firstDataCol="1"/>
  <pivotFields count="26">
    <pivotField showAll="0"/>
    <pivotField numFmtId="14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m="1" x="30"/>
        <item x="25"/>
        <item x="26"/>
        <item x="27"/>
        <item x="28"/>
        <item h="1"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9">
        <item x="19"/>
        <item x="86"/>
        <item x="85"/>
        <item x="21"/>
        <item x="9"/>
        <item x="2"/>
        <item x="48"/>
        <item x="62"/>
        <item x="32"/>
        <item x="60"/>
        <item x="27"/>
        <item x="50"/>
        <item x="56"/>
        <item x="59"/>
        <item x="24"/>
        <item x="22"/>
        <item x="18"/>
        <item x="53"/>
        <item x="44"/>
        <item x="10"/>
        <item x="75"/>
        <item x="40"/>
        <item x="65"/>
        <item x="8"/>
        <item x="52"/>
        <item x="23"/>
        <item x="39"/>
        <item x="30"/>
        <item x="81"/>
        <item x="64"/>
        <item x="11"/>
        <item x="13"/>
        <item x="26"/>
        <item x="20"/>
        <item x="51"/>
        <item x="54"/>
        <item x="3"/>
        <item x="69"/>
        <item x="47"/>
        <item x="0"/>
        <item x="61"/>
        <item x="35"/>
        <item x="36"/>
        <item x="76"/>
        <item x="71"/>
        <item x="25"/>
        <item x="12"/>
        <item x="72"/>
        <item x="14"/>
        <item x="78"/>
        <item x="31"/>
        <item x="57"/>
        <item x="73"/>
        <item x="28"/>
        <item x="67"/>
        <item x="1"/>
        <item x="33"/>
        <item x="46"/>
        <item x="82"/>
        <item x="43"/>
        <item x="16"/>
        <item x="38"/>
        <item x="49"/>
        <item x="58"/>
        <item x="34"/>
        <item x="7"/>
        <item x="74"/>
        <item x="83"/>
        <item x="37"/>
        <item x="45"/>
        <item x="5"/>
        <item x="66"/>
        <item x="68"/>
        <item x="63"/>
        <item x="42"/>
        <item x="6"/>
        <item x="77"/>
        <item x="41"/>
        <item x="55"/>
        <item x="29"/>
        <item x="4"/>
        <item x="80"/>
        <item x="84"/>
        <item x="17"/>
        <item x="79"/>
        <item x="15"/>
        <item x="70"/>
        <item x="87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5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" fld="3" subtotal="count" baseField="0" baseItem="0"/>
    <dataField name="P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865D8-95E9-4C5B-9A9D-B064D2510E1C}" name="Tabela dinâmica10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LIGA">
  <location ref="AD2:AF21" firstHeaderRow="0" firstDataRow="1" firstDataCol="1"/>
  <pivotFields count="26">
    <pivotField showAll="0"/>
    <pivotField numFmtId="14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m="1" x="30"/>
        <item x="25"/>
        <item x="26"/>
        <item x="27"/>
        <item x="28"/>
        <item h="1" x="29"/>
        <item t="default"/>
      </items>
    </pivotField>
    <pivotField showAll="0"/>
    <pivotField axis="axisRow" dataField="1" showAll="0">
      <items count="20">
        <item x="14"/>
        <item x="12"/>
        <item x="5"/>
        <item x="9"/>
        <item x="2"/>
        <item x="3"/>
        <item x="0"/>
        <item x="16"/>
        <item x="7"/>
        <item x="10"/>
        <item x="8"/>
        <item x="1"/>
        <item x="11"/>
        <item x="15"/>
        <item x="6"/>
        <item x="4"/>
        <item x="13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9">
        <item x="19"/>
        <item x="86"/>
        <item x="85"/>
        <item x="21"/>
        <item x="9"/>
        <item x="2"/>
        <item x="48"/>
        <item x="62"/>
        <item x="32"/>
        <item x="60"/>
        <item x="27"/>
        <item x="50"/>
        <item x="56"/>
        <item x="59"/>
        <item x="24"/>
        <item x="22"/>
        <item x="18"/>
        <item x="53"/>
        <item x="44"/>
        <item x="10"/>
        <item x="75"/>
        <item x="40"/>
        <item x="65"/>
        <item x="8"/>
        <item x="52"/>
        <item x="23"/>
        <item x="39"/>
        <item x="30"/>
        <item x="81"/>
        <item x="64"/>
        <item x="11"/>
        <item x="13"/>
        <item x="26"/>
        <item x="20"/>
        <item x="51"/>
        <item x="54"/>
        <item x="3"/>
        <item x="69"/>
        <item x="47"/>
        <item x="0"/>
        <item x="61"/>
        <item x="35"/>
        <item x="36"/>
        <item x="76"/>
        <item x="71"/>
        <item x="25"/>
        <item x="12"/>
        <item x="72"/>
        <item x="14"/>
        <item x="78"/>
        <item x="31"/>
        <item x="57"/>
        <item x="73"/>
        <item x="28"/>
        <item x="67"/>
        <item x="1"/>
        <item x="33"/>
        <item x="46"/>
        <item x="82"/>
        <item x="43"/>
        <item x="16"/>
        <item x="38"/>
        <item x="49"/>
        <item x="58"/>
        <item x="34"/>
        <item x="7"/>
        <item x="74"/>
        <item x="83"/>
        <item x="37"/>
        <item x="45"/>
        <item x="5"/>
        <item x="66"/>
        <item x="68"/>
        <item x="63"/>
        <item x="42"/>
        <item x="6"/>
        <item x="77"/>
        <item x="41"/>
        <item x="55"/>
        <item x="29"/>
        <item x="4"/>
        <item x="80"/>
        <item x="84"/>
        <item x="17"/>
        <item x="79"/>
        <item x="15"/>
        <item x="70"/>
        <item x="87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N" fld="3" subtotal="count" baseField="0" baseItem="0"/>
    <dataField name="P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F582E-1CD1-4B26-A874-A83D9DBD68AE}" name="Tabela dinâ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LIGA">
  <location ref="AT2:AX6" firstHeaderRow="0" firstDataRow="1" firstDataCol="1"/>
  <pivotFields count="26">
    <pivotField showAll="0"/>
    <pivotField numFmtId="14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m="1" x="30"/>
        <item x="25"/>
        <item x="26"/>
        <item x="27"/>
        <item x="28"/>
        <item h="1"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9">
        <item x="19"/>
        <item x="86"/>
        <item x="85"/>
        <item x="21"/>
        <item x="9"/>
        <item x="2"/>
        <item x="48"/>
        <item x="62"/>
        <item x="32"/>
        <item x="60"/>
        <item x="27"/>
        <item x="50"/>
        <item x="56"/>
        <item x="59"/>
        <item x="24"/>
        <item x="22"/>
        <item x="18"/>
        <item x="53"/>
        <item x="44"/>
        <item x="10"/>
        <item x="75"/>
        <item x="40"/>
        <item x="65"/>
        <item x="8"/>
        <item x="52"/>
        <item x="23"/>
        <item x="39"/>
        <item x="30"/>
        <item x="81"/>
        <item x="64"/>
        <item x="11"/>
        <item x="13"/>
        <item x="26"/>
        <item x="20"/>
        <item x="51"/>
        <item x="54"/>
        <item x="3"/>
        <item x="69"/>
        <item x="47"/>
        <item x="0"/>
        <item x="61"/>
        <item x="35"/>
        <item x="36"/>
        <item x="76"/>
        <item x="71"/>
        <item x="25"/>
        <item x="12"/>
        <item x="72"/>
        <item x="14"/>
        <item x="78"/>
        <item x="31"/>
        <item x="57"/>
        <item x="73"/>
        <item x="28"/>
        <item x="67"/>
        <item x="1"/>
        <item x="33"/>
        <item x="46"/>
        <item x="82"/>
        <item x="43"/>
        <item x="16"/>
        <item x="38"/>
        <item x="49"/>
        <item x="58"/>
        <item x="34"/>
        <item x="7"/>
        <item x="74"/>
        <item x="83"/>
        <item x="37"/>
        <item x="45"/>
        <item x="5"/>
        <item x="66"/>
        <item x="68"/>
        <item x="63"/>
        <item x="42"/>
        <item x="6"/>
        <item x="77"/>
        <item x="41"/>
        <item x="55"/>
        <item x="29"/>
        <item x="4"/>
        <item x="80"/>
        <item x="84"/>
        <item x="17"/>
        <item x="79"/>
        <item x="15"/>
        <item x="70"/>
        <item x="87"/>
        <item t="default"/>
      </items>
    </pivotField>
    <pivotField showAll="0"/>
    <pivotField dataField="1" showAll="0"/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" fld="3" subtotal="count" baseField="0" baseItem="0"/>
    <dataField name="Win-rate" fld="23" subtotal="count" showDataAs="percentOfTotal" baseField="23" baseItem="0" numFmtId="10"/>
    <dataField name="Média de odds_Ap" fld="18" subtotal="average" baseField="18" baseItem="0" numFmtId="2"/>
    <dataField name="P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A95DD-DDD8-4C1D-BE8B-D668880D2BD1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LIGA">
  <location ref="Z3:AB7" firstHeaderRow="0" firstDataRow="1" firstDataCol="1"/>
  <pivotFields count="26">
    <pivotField showAll="0"/>
    <pivotField numFmtId="14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h="1" x="19"/>
        <item h="1" x="20"/>
        <item h="1" x="21"/>
        <item h="1" x="22"/>
        <item h="1" x="23"/>
        <item h="1" x="24"/>
        <item h="1" m="1" x="30"/>
        <item h="1" x="25"/>
        <item h="1" x="26"/>
        <item h="1" x="27"/>
        <item h="1" x="28"/>
        <item h="1"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9">
        <item x="19"/>
        <item x="86"/>
        <item x="85"/>
        <item x="21"/>
        <item x="9"/>
        <item x="2"/>
        <item x="48"/>
        <item x="62"/>
        <item x="32"/>
        <item x="60"/>
        <item x="27"/>
        <item x="50"/>
        <item x="56"/>
        <item x="59"/>
        <item x="24"/>
        <item x="22"/>
        <item x="18"/>
        <item x="53"/>
        <item x="44"/>
        <item x="10"/>
        <item x="75"/>
        <item x="40"/>
        <item x="65"/>
        <item x="8"/>
        <item x="52"/>
        <item x="23"/>
        <item x="39"/>
        <item x="30"/>
        <item x="81"/>
        <item x="64"/>
        <item x="11"/>
        <item x="13"/>
        <item x="26"/>
        <item x="20"/>
        <item x="51"/>
        <item x="54"/>
        <item x="3"/>
        <item x="69"/>
        <item x="47"/>
        <item x="0"/>
        <item x="61"/>
        <item x="35"/>
        <item x="36"/>
        <item x="76"/>
        <item x="71"/>
        <item x="25"/>
        <item x="12"/>
        <item x="72"/>
        <item x="14"/>
        <item x="78"/>
        <item x="31"/>
        <item x="57"/>
        <item x="73"/>
        <item x="28"/>
        <item x="67"/>
        <item x="1"/>
        <item x="33"/>
        <item x="46"/>
        <item x="82"/>
        <item x="43"/>
        <item x="16"/>
        <item x="38"/>
        <item x="49"/>
        <item x="58"/>
        <item x="34"/>
        <item x="7"/>
        <item x="74"/>
        <item x="83"/>
        <item x="37"/>
        <item x="45"/>
        <item x="5"/>
        <item x="66"/>
        <item x="68"/>
        <item x="63"/>
        <item x="42"/>
        <item x="6"/>
        <item x="77"/>
        <item x="41"/>
        <item x="55"/>
        <item x="29"/>
        <item x="4"/>
        <item x="80"/>
        <item x="84"/>
        <item x="17"/>
        <item x="79"/>
        <item x="15"/>
        <item x="70"/>
        <item x="87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5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" fld="3" subtotal="count" baseField="0" baseItem="0"/>
    <dataField name="P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4F35004-B615-4E9D-B475-B1211AC8586B}" autoFormatId="16" applyNumberFormats="0" applyBorderFormats="0" applyFontFormats="0" applyPatternFormats="0" applyAlignmentFormats="0" applyWidthHeightFormats="0">
  <queryTableRefresh nextId="27">
    <queryTableFields count="26">
      <queryTableField id="1" name="Data" tableColumnId="1"/>
      <queryTableField id="2" name="Hora_Jg" tableColumnId="2"/>
      <queryTableField id="3" name="Liga" tableColumnId="3"/>
      <queryTableField id="4" name="rodada" tableColumnId="4"/>
      <queryTableField id="5" name="casa" tableColumnId="5"/>
      <queryTableField id="6" name="fora" tableColumnId="6"/>
      <queryTableField id="7" name="coment" tableColumnId="7"/>
      <queryTableField id="8" name="Met" tableColumnId="8"/>
      <queryTableField id="9" name="M_Odds_Ca" tableColumnId="9"/>
      <queryTableField id="10" name="M_Odds_Fo" tableColumnId="10"/>
      <queryTableField id="11" name="MCto_pg_Ca" tableColumnId="11"/>
      <queryTableField id="12" name="MCto_pg_Fo" tableColumnId="12"/>
      <queryTableField id="13" name="MVl_pg_Ca" tableColumnId="13"/>
      <queryTableField id="14" name="MVl_pg_Fo" tableColumnId="14"/>
      <queryTableField id="15" name="MCto_GOL_Ca" tableColumnId="15"/>
      <queryTableField id="16" name="MCto_GOL_Fo" tableColumnId="16"/>
      <queryTableField id="17" name="MVl_GOL_Ca" tableColumnId="17"/>
      <queryTableField id="18" name="MVl_GOL_Fo" tableColumnId="18"/>
      <queryTableField id="19" name="MVl_GOLC_AMB" tableColumnId="19"/>
      <queryTableField id="20" name="MVl_GOLF_AMB" tableColumnId="20"/>
      <queryTableField id="21" name="%V_Ca" tableColumnId="21"/>
      <queryTableField id="22" name="%E_Ca" tableColumnId="22"/>
      <queryTableField id="23" name="%D_Ca" tableColumnId="23"/>
      <queryTableField id="24" name="%V_Fo" tableColumnId="24"/>
      <queryTableField id="25" name="%E_Fo" tableColumnId="25"/>
      <queryTableField id="26" name="%D_Fo" tableColumnId="2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t" xr10:uid="{67BAAB5E-5AEE-4CB3-B5FC-EDAA457B37EE}" sourceName="Met">
  <pivotTables>
    <pivotTable tabId="4" name="Tabela dinâmica10"/>
    <pivotTable tabId="4" name="Tabela dinâmica1"/>
    <pivotTable tabId="4" name="Tabela dinâmica5"/>
    <pivotTable tabId="4" name="Tabela dinâmica6"/>
    <pivotTable tabId="4" name="Tabela dinâmica2"/>
    <pivotTable tabId="4" name="Tabela dinâmica4"/>
    <pivotTable tabId="4" name="Tabela dinâmica12"/>
    <pivotTable tabId="4" name="Tabela dinâmica3"/>
  </pivotTables>
  <data>
    <tabular pivotCacheId="134594964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dds_Ap" xr10:uid="{D8E46B71-B8A1-4D9D-8CFA-97C95578E940}" sourceName="odds_Ap">
  <pivotTables>
    <pivotTable tabId="4" name="Tabela dinâmica1"/>
    <pivotTable tabId="4" name="Tabela dinâmica10"/>
    <pivotTable tabId="4" name="Tabela dinâmica5"/>
    <pivotTable tabId="4" name="Tabela dinâmica6"/>
    <pivotTable tabId="4" name="Tabela dinâmica2"/>
    <pivotTable tabId="4" name="Tabela dinâmica4"/>
    <pivotTable tabId="4" name="Tabela dinâmica12"/>
    <pivotTable tabId="4" name="Tabela dinâmica3"/>
  </pivotTables>
  <data>
    <tabular pivotCacheId="1345949646">
      <items count="88">
        <i x="19" s="1"/>
        <i x="86" s="1"/>
        <i x="85" s="1"/>
        <i x="21" s="1"/>
        <i x="9" s="1"/>
        <i x="2" s="1"/>
        <i x="48" s="1"/>
        <i x="62" s="1"/>
        <i x="32" s="1"/>
        <i x="60" s="1"/>
        <i x="27" s="1"/>
        <i x="50" s="1"/>
        <i x="56" s="1"/>
        <i x="59" s="1"/>
        <i x="24" s="1"/>
        <i x="22" s="1"/>
        <i x="18" s="1"/>
        <i x="53" s="1"/>
        <i x="44" s="1"/>
        <i x="10" s="1"/>
        <i x="75" s="1"/>
        <i x="40" s="1"/>
        <i x="65" s="1"/>
        <i x="8" s="1"/>
        <i x="52" s="1"/>
        <i x="23" s="1"/>
        <i x="39" s="1"/>
        <i x="30" s="1"/>
        <i x="81" s="1"/>
        <i x="64" s="1"/>
        <i x="11" s="1"/>
        <i x="13" s="1"/>
        <i x="26" s="1"/>
        <i x="20" s="1"/>
        <i x="51" s="1"/>
        <i x="54" s="1"/>
        <i x="3" s="1"/>
        <i x="69" s="1"/>
        <i x="47" s="1"/>
        <i x="0" s="1"/>
        <i x="61" s="1"/>
        <i x="35" s="1"/>
        <i x="36" s="1"/>
        <i x="76" s="1"/>
        <i x="71" s="1"/>
        <i x="25" s="1"/>
        <i x="12" s="1"/>
        <i x="72" s="1"/>
        <i x="14" s="1"/>
        <i x="78" s="1"/>
        <i x="31" s="1"/>
        <i x="57" s="1"/>
        <i x="73" s="1"/>
        <i x="28" s="1"/>
        <i x="67" s="1"/>
        <i x="1" s="1"/>
        <i x="33" s="1"/>
        <i x="46" s="1"/>
        <i x="82" s="1"/>
        <i x="43" s="1"/>
        <i x="16" s="1"/>
        <i x="38" s="1"/>
        <i x="49" s="1"/>
        <i x="58" s="1"/>
        <i x="34" s="1"/>
        <i x="7" s="1"/>
        <i x="74" s="1"/>
        <i x="83" s="1"/>
        <i x="37" s="1"/>
        <i x="45" s="1"/>
        <i x="5" s="1"/>
        <i x="66" s="1"/>
        <i x="68" s="1"/>
        <i x="63" s="1"/>
        <i x="42" s="1"/>
        <i x="6" s="1"/>
        <i x="77" s="1"/>
        <i x="41" s="1"/>
        <i x="55" s="1"/>
        <i x="29" s="1"/>
        <i x="4" s="1"/>
        <i x="80" s="1"/>
        <i x="84" s="1"/>
        <i x="17" s="1"/>
        <i x="79" s="1"/>
        <i x="15" s="1"/>
        <i x="70" s="1"/>
        <i x="8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3C180E42-82B4-45CE-B4C7-7AFCA2F7EA10}" sourceName="Data">
  <pivotTables>
    <pivotTable tabId="4" name="Tabela dinâmica2"/>
    <pivotTable tabId="4" name="Tabela dinâmica1"/>
    <pivotTable tabId="4" name="Tabela dinâmica10"/>
    <pivotTable tabId="4" name="Tabela dinâmica5"/>
    <pivotTable tabId="4" name="Tabela dinâmica6"/>
    <pivotTable tabId="4" name="Tabela dinâmica12"/>
    <pivotTable tabId="4" name="Tabela dinâmica3"/>
  </pivotTables>
  <data>
    <tabular pivotCacheId="1345949646">
      <items count="31">
        <i x="0"/>
        <i x="1"/>
        <i x="2"/>
        <i x="3"/>
        <i x="4"/>
        <i x="5"/>
        <i x="6"/>
        <i x="7"/>
        <i x="8"/>
        <i x="9"/>
        <i x="10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/>
        <i x="3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t" xr10:uid="{0CFC7D8A-0830-407B-B5A8-2E6AF26A259E}" cache="SegmentaçãodeDados_Met" caption="Met" rowHeight="241300"/>
  <slicer name="Met 1" xr10:uid="{C49D4103-DC42-4972-A5AC-746C1507F8DB}" cache="SegmentaçãodeDados_Met" caption="Met" rowHeight="241300"/>
  <slicer name="odds_Ap" xr10:uid="{8984F540-779C-4BE7-9BF5-2450A5DF5027}" cache="SegmentaçãodeDados_odds_Ap" caption="odds_Ap" rowHeight="241300"/>
  <slicer name="Data" xr10:uid="{DCC051DE-6552-4DAF-A736-6696066234CD}" cache="SegmentaçãodeDados_Data" caption="Data" startItem="21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E48C17-94DB-4D0E-81DC-77E4913935B0}" name="_0_00_A_PAINEL_MASTER_V20_APOSTA_ROD" displayName="_0_00_A_PAINEL_MASTER_V20_APOSTA_ROD" ref="A1:X161" totalsRowShown="0">
  <autoFilter ref="A1:X161" xr:uid="{3CE48C17-94DB-4D0E-81DC-77E4913935B0}"/>
  <tableColumns count="24">
    <tableColumn id="8" xr3:uid="{0459B8F2-75FA-45F4-87C2-470625B9145C}" name="Índice"/>
    <tableColumn id="1" xr3:uid="{A9CC0A5D-02D3-43EF-8412-B5ED0B735F69}" name="Data" dataDxfId="28"/>
    <tableColumn id="17" xr3:uid="{CA15CED3-D1EA-4DAF-8B3B-A6045BBE5AA3}" name="Hora_Jg" dataDxfId="27"/>
    <tableColumn id="2" xr3:uid="{E781810C-BD15-469C-9082-9C4E6DEA7E7B}" name="Liga" dataDxfId="26"/>
    <tableColumn id="3" xr3:uid="{8D34C062-AE26-443F-8C36-20607EB63CB2}" name="rodada"/>
    <tableColumn id="4" xr3:uid="{499809DF-BD09-46E5-AF70-B298A3D96EE1}" name="casa" dataDxfId="25"/>
    <tableColumn id="5" xr3:uid="{0AE68D22-C92C-4DCC-ABF2-30F752093B42}" name="fora" dataDxfId="24"/>
    <tableColumn id="6" xr3:uid="{05847992-36C8-4ACD-9FEE-B7F706FC8877}" name="coment" dataDxfId="23"/>
    <tableColumn id="7" xr3:uid="{B9A26E51-40A8-4D0B-AE1E-78994168CEB3}" name="Met" dataDxfId="22"/>
    <tableColumn id="18" xr3:uid="{BCA59AB0-7B8E-415F-8E88-DC0FB774915C}" name="MVl_GOLC_AMB" dataDxfId="21"/>
    <tableColumn id="19" xr3:uid="{2F2E7623-1B52-4711-863A-95339CE2F4E2}" name="MVl_GOLF_AMB" dataDxfId="20"/>
    <tableColumn id="20" xr3:uid="{DF50465F-8907-4732-B10E-0CD84C5B0B25}" name="%V_Ca" dataDxfId="19"/>
    <tableColumn id="21" xr3:uid="{E1983FB3-F203-4D77-89C9-CDBD22BA8B1D}" name="%E_Ca" dataDxfId="18"/>
    <tableColumn id="22" xr3:uid="{7F79C205-2585-4751-9250-8631400091B9}" name="%D_Ca" dataDxfId="17"/>
    <tableColumn id="23" xr3:uid="{7510B0D9-1C86-4D64-AD44-BC689F446017}" name="%V_Fo" dataDxfId="16"/>
    <tableColumn id="24" xr3:uid="{3EEDBBE4-E75E-4C8C-94AC-92E96F67E65B}" name="%E_Fo" dataDxfId="15"/>
    <tableColumn id="25" xr3:uid="{4330CDD8-328D-46E0-B4AB-1F9089AA367C}" name="%D_Fo" dataDxfId="14"/>
    <tableColumn id="9" xr3:uid="{4E37FAF1-8341-4AEE-B147-BEDAD558801E}" name="Lado_Ap" dataDxfId="13">
      <calculatedColumnFormula>IFERROR(IF(_0_00_A_PAINEL_MASTER_V20_APOSTA_ROD[[#This Row],[Met]]="Back_Casa",1,2),0)</calculatedColumnFormula>
    </tableColumn>
    <tableColumn id="11" xr3:uid="{1F00C8D7-2C3A-4B31-AB72-5B7CD5B3CBA0}" name="odds_Ap" dataDxfId="12"/>
    <tableColumn id="12" xr3:uid="{B704E38D-D39B-4B88-A5B9-877B9B19D146}" name="Stake" dataDxfId="11"/>
    <tableColumn id="13" xr3:uid="{BEE71E8A-FEC3-4982-9B70-DCE8E670FF18}" name="P&amp;L" dataDxfId="10"/>
    <tableColumn id="14" xr3:uid="{05B1C318-C2FA-45CA-AE26-F1921F82936E}" name="gols_casa" dataDxfId="9"/>
    <tableColumn id="15" xr3:uid="{0C190B8E-B057-402A-A139-C2F346AE803B}" name="gols_fora" dataDxfId="8"/>
    <tableColumn id="16" xr3:uid="{957F1787-631F-4A7A-BA30-623371306A03}" name="rest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670F8-EA21-4E9F-AD06-91CC06B70053}" name="_0_00_A_PAINEL_MASTER_V20_APOSTA_ROD__2" displayName="_0_00_A_PAINEL_MASTER_V20_APOSTA_ROD__2" ref="A1:Z40" tableType="queryTable" totalsRowShown="0">
  <autoFilter ref="A1:Z40" xr:uid="{E08670F8-EA21-4E9F-AD06-91CC06B70053}">
    <filterColumn colId="0">
      <filters>
        <dateGroupItem year="2026" month="3" day="1" dateTimeGrouping="day"/>
      </filters>
    </filterColumn>
  </autoFilter>
  <sortState xmlns:xlrd2="http://schemas.microsoft.com/office/spreadsheetml/2017/richdata2" ref="A2:Z40">
    <sortCondition ref="B1:B40"/>
  </sortState>
  <tableColumns count="26">
    <tableColumn id="1" xr3:uid="{8004AC58-B395-42C9-88CC-C1E00369480B}" uniqueName="1" name="Data" queryTableFieldId="1" dataDxfId="6"/>
    <tableColumn id="2" xr3:uid="{957D15D6-CCE3-4881-8CDE-A3771C6C98E2}" uniqueName="2" name="Hora_Jg" queryTableFieldId="2" dataDxfId="5"/>
    <tableColumn id="3" xr3:uid="{8BFB6671-37AF-4F29-8F64-9410F9322E34}" uniqueName="3" name="Liga" queryTableFieldId="3" dataDxfId="4"/>
    <tableColumn id="4" xr3:uid="{FD58F7C1-400A-433E-9093-C1AE2CCD954C}" uniqueName="4" name="rodada" queryTableFieldId="4"/>
    <tableColumn id="5" xr3:uid="{FE9681C8-9948-4967-99BD-05D415CEAFAD}" uniqueName="5" name="casa" queryTableFieldId="5" dataDxfId="3"/>
    <tableColumn id="6" xr3:uid="{636C994C-8861-4BD6-9C9A-309464EF6EC5}" uniqueName="6" name="fora" queryTableFieldId="6" dataDxfId="2"/>
    <tableColumn id="7" xr3:uid="{2B3C01A0-9C4B-4523-B373-E94A7BEAABDE}" uniqueName="7" name="coment" queryTableFieldId="7" dataDxfId="1"/>
    <tableColumn id="8" xr3:uid="{751A4535-C990-4C40-8626-68FA62526A25}" uniqueName="8" name="Met" queryTableFieldId="8" dataDxfId="0"/>
    <tableColumn id="9" xr3:uid="{5C5C12FA-5527-46DD-B6DD-2D51A43CEE60}" uniqueName="9" name="M_Odds_Ca" queryTableFieldId="9"/>
    <tableColumn id="10" xr3:uid="{3B6BB763-4626-4EBB-9D55-B516A03E7DA1}" uniqueName="10" name="M_Odds_Fo" queryTableFieldId="10"/>
    <tableColumn id="11" xr3:uid="{AF4BD26C-E204-40C8-8520-46B12ACC638F}" uniqueName="11" name="MCto_pg_Ca" queryTableFieldId="11"/>
    <tableColumn id="12" xr3:uid="{12EF31E5-9ABD-4D20-B2B8-7D62EDBA1A0C}" uniqueName="12" name="MCto_pg_Fo" queryTableFieldId="12"/>
    <tableColumn id="13" xr3:uid="{B129CCB3-317E-4A83-97FE-F9291FB02135}" uniqueName="13" name="MVl_pg_Ca" queryTableFieldId="13"/>
    <tableColumn id="14" xr3:uid="{45A5104B-D6C0-4036-801F-C77741ADF5CC}" uniqueName="14" name="MVl_pg_Fo" queryTableFieldId="14"/>
    <tableColumn id="15" xr3:uid="{FD39BA36-8DA3-49E5-9A01-493E19B117B0}" uniqueName="15" name="MCto_GOL_Ca" queryTableFieldId="15"/>
    <tableColumn id="16" xr3:uid="{ECE1584F-6A0C-4449-BEC2-1BDBBEFEE52B}" uniqueName="16" name="MCto_GOL_Fo" queryTableFieldId="16"/>
    <tableColumn id="17" xr3:uid="{93CB9A06-E606-47DC-BDD4-EA8516108A5B}" uniqueName="17" name="MVl_GOL_Ca" queryTableFieldId="17"/>
    <tableColumn id="18" xr3:uid="{5267B184-F031-442C-B29E-233AE74ABDD7}" uniqueName="18" name="MVl_GOL_Fo" queryTableFieldId="18"/>
    <tableColumn id="19" xr3:uid="{47F02204-D8A2-4A6F-B406-577DEEB25E75}" uniqueName="19" name="MVl_GOLC_AMB" queryTableFieldId="19"/>
    <tableColumn id="20" xr3:uid="{BCBC2A88-BAF1-417E-9A66-3FD157105833}" uniqueName="20" name="MVl_GOLF_AMB" queryTableFieldId="20"/>
    <tableColumn id="21" xr3:uid="{5548963C-3EE5-407F-9A2D-6F74713912CE}" uniqueName="21" name="%V_Ca" queryTableFieldId="21"/>
    <tableColumn id="22" xr3:uid="{66908468-64CA-4191-808B-3E70B504066C}" uniqueName="22" name="%E_Ca" queryTableFieldId="22"/>
    <tableColumn id="23" xr3:uid="{8B2AF50E-4397-4D89-816F-DA767412E19C}" uniqueName="23" name="%D_Ca" queryTableFieldId="23"/>
    <tableColumn id="24" xr3:uid="{A9EB01B0-4E04-455B-B644-D270A79620C9}" uniqueName="24" name="%V_Fo" queryTableFieldId="24"/>
    <tableColumn id="25" xr3:uid="{0382E63D-06A1-4DAF-BB00-F7D1A891DE83}" uniqueName="25" name="%E_Fo" queryTableFieldId="25"/>
    <tableColumn id="26" xr3:uid="{77B6E423-52BD-43F8-A66A-D6866A136EF2}" uniqueName="26" name="%D_Fo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270E-6A76-488F-AAA7-54C85D8FAB73}">
  <dimension ref="A1:BL161"/>
  <sheetViews>
    <sheetView tabSelected="1" topLeftCell="A136" workbookViewId="0">
      <pane xSplit="9" topLeftCell="J1" activePane="topRight" state="frozen"/>
      <selection pane="topRight" activeCell="Y166" sqref="Y166"/>
    </sheetView>
  </sheetViews>
  <sheetFormatPr defaultRowHeight="15" x14ac:dyDescent="0.25"/>
  <cols>
    <col min="1" max="1" width="8.7109375" bestFit="1" customWidth="1"/>
    <col min="2" max="2" width="10.7109375" bestFit="1" customWidth="1"/>
    <col min="3" max="3" width="12" style="6" bestFit="1" customWidth="1"/>
    <col min="4" max="4" width="12" bestFit="1" customWidth="1"/>
    <col min="5" max="5" width="7.5703125" customWidth="1"/>
    <col min="6" max="7" width="26.85546875" bestFit="1" customWidth="1"/>
    <col min="8" max="8" width="14.7109375" bestFit="1" customWidth="1"/>
    <col min="9" max="9" width="18.28515625" bestFit="1" customWidth="1"/>
    <col min="10" max="11" width="18.140625" bestFit="1" customWidth="1"/>
    <col min="12" max="12" width="9" bestFit="1" customWidth="1"/>
    <col min="13" max="14" width="9.28515625" bestFit="1" customWidth="1"/>
    <col min="15" max="15" width="9" bestFit="1" customWidth="1"/>
    <col min="16" max="16" width="9.28515625" bestFit="1" customWidth="1"/>
    <col min="17" max="17" width="10.85546875" bestFit="1" customWidth="1"/>
    <col min="18" max="18" width="11.28515625" bestFit="1" customWidth="1"/>
    <col min="19" max="19" width="11" bestFit="1" customWidth="1"/>
    <col min="20" max="20" width="8.140625" bestFit="1" customWidth="1"/>
    <col min="21" max="21" width="6.85546875" bestFit="1" customWidth="1"/>
    <col min="22" max="22" width="11.5703125" bestFit="1" customWidth="1"/>
    <col min="23" max="23" width="11.42578125" bestFit="1" customWidth="1"/>
    <col min="24" max="24" width="6.7109375" bestFit="1" customWidth="1"/>
    <col min="25" max="25" width="6.7109375" customWidth="1"/>
    <col min="26" max="26" width="10.7109375" bestFit="1" customWidth="1"/>
    <col min="27" max="27" width="11" bestFit="1" customWidth="1"/>
    <col min="28" max="28" width="6.7109375" customWidth="1"/>
    <col min="29" max="29" width="9" bestFit="1" customWidth="1"/>
    <col min="30" max="30" width="15.28515625" customWidth="1"/>
    <col min="31" max="31" width="3" bestFit="1" customWidth="1"/>
    <col min="32" max="32" width="8" customWidth="1"/>
    <col min="33" max="33" width="12.140625" bestFit="1" customWidth="1"/>
    <col min="34" max="34" width="15.7109375" bestFit="1" customWidth="1"/>
    <col min="35" max="35" width="12.7109375" bestFit="1" customWidth="1"/>
    <col min="36" max="36" width="11.5703125" bestFit="1" customWidth="1"/>
    <col min="37" max="37" width="11.42578125" bestFit="1" customWidth="1"/>
    <col min="38" max="38" width="6.7109375" bestFit="1" customWidth="1"/>
    <col min="55" max="55" width="6.85546875" customWidth="1"/>
    <col min="56" max="56" width="5.28515625" customWidth="1"/>
    <col min="60" max="60" width="10.7109375" bestFit="1" customWidth="1"/>
    <col min="63" max="63" width="17.85546875" bestFit="1" customWidth="1"/>
    <col min="64" max="64" width="9.28515625" customWidth="1"/>
  </cols>
  <sheetData>
    <row r="1" spans="1:64" x14ac:dyDescent="0.25">
      <c r="A1" t="s">
        <v>107</v>
      </c>
      <c r="B1" t="s">
        <v>0</v>
      </c>
      <c r="C1" s="6" t="s">
        <v>140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5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s="4" t="s">
        <v>57</v>
      </c>
      <c r="S1" s="4" t="s">
        <v>58</v>
      </c>
      <c r="T1" s="4" t="s">
        <v>59</v>
      </c>
      <c r="U1" s="4" t="s">
        <v>60</v>
      </c>
      <c r="V1" s="4" t="s">
        <v>17</v>
      </c>
      <c r="W1" s="4" t="s">
        <v>18</v>
      </c>
      <c r="X1" s="4" t="s">
        <v>19</v>
      </c>
      <c r="Y1" s="4"/>
      <c r="Z1" s="4"/>
      <c r="AA1" s="4"/>
      <c r="AB1" s="4"/>
    </row>
    <row r="2" spans="1:64" x14ac:dyDescent="0.25">
      <c r="A2">
        <v>1</v>
      </c>
      <c r="B2" s="1">
        <v>46038</v>
      </c>
      <c r="D2" s="2" t="s">
        <v>36</v>
      </c>
      <c r="E2">
        <v>18</v>
      </c>
      <c r="F2" s="2" t="s">
        <v>78</v>
      </c>
      <c r="G2" s="2" t="s">
        <v>79</v>
      </c>
      <c r="H2" s="2" t="s">
        <v>99</v>
      </c>
      <c r="I2" s="2" t="s">
        <v>100</v>
      </c>
      <c r="J2" s="3">
        <v>1.1499999999999999</v>
      </c>
      <c r="K2" s="3">
        <v>0.14000000000000001</v>
      </c>
      <c r="L2" s="3">
        <v>50</v>
      </c>
      <c r="M2" s="3">
        <v>20</v>
      </c>
      <c r="N2" s="3">
        <v>30</v>
      </c>
      <c r="O2" s="3">
        <v>0</v>
      </c>
      <c r="P2" s="3">
        <v>44.44</v>
      </c>
      <c r="Q2" s="3">
        <v>55.56</v>
      </c>
      <c r="R2" s="5">
        <f>IFERROR(IF(_0_00_A_PAINEL_MASTER_V20_APOSTA_ROD[[#This Row],[Met]]="Back_Casa",1,2),0)</f>
        <v>1</v>
      </c>
      <c r="S2" s="3">
        <v>1.87</v>
      </c>
      <c r="T2" s="3">
        <v>1</v>
      </c>
      <c r="U2" s="3">
        <v>-1</v>
      </c>
      <c r="V2" s="3">
        <v>1</v>
      </c>
      <c r="W2" s="3">
        <v>3</v>
      </c>
      <c r="X2" s="3">
        <v>1</v>
      </c>
      <c r="Y2" s="3"/>
      <c r="AD2" s="7" t="s">
        <v>205</v>
      </c>
      <c r="AE2" t="s">
        <v>206</v>
      </c>
      <c r="AF2" t="s">
        <v>207</v>
      </c>
      <c r="AI2" s="7" t="s">
        <v>205</v>
      </c>
      <c r="AJ2" t="s">
        <v>206</v>
      </c>
      <c r="AK2" t="s">
        <v>208</v>
      </c>
      <c r="AL2" t="s">
        <v>207</v>
      </c>
      <c r="AN2" s="7" t="s">
        <v>205</v>
      </c>
      <c r="AO2" t="s">
        <v>206</v>
      </c>
      <c r="AP2" t="s">
        <v>209</v>
      </c>
      <c r="AQ2" t="s">
        <v>208</v>
      </c>
      <c r="AR2" t="s">
        <v>207</v>
      </c>
      <c r="AT2" s="7" t="s">
        <v>205</v>
      </c>
      <c r="AU2" t="s">
        <v>206</v>
      </c>
      <c r="AV2" t="s">
        <v>209</v>
      </c>
      <c r="AW2" t="s">
        <v>208</v>
      </c>
      <c r="AX2" t="s">
        <v>207</v>
      </c>
      <c r="BA2" t="s">
        <v>230</v>
      </c>
      <c r="BC2" s="7" t="s">
        <v>210</v>
      </c>
      <c r="BD2" t="s">
        <v>207</v>
      </c>
      <c r="BH2" s="7" t="s">
        <v>205</v>
      </c>
      <c r="BI2" t="s">
        <v>206</v>
      </c>
      <c r="BJ2" t="s">
        <v>209</v>
      </c>
      <c r="BK2" t="s">
        <v>208</v>
      </c>
      <c r="BL2" t="s">
        <v>207</v>
      </c>
    </row>
    <row r="3" spans="1:64" x14ac:dyDescent="0.25">
      <c r="A3">
        <f t="shared" ref="A3:A47" si="0">1+A2</f>
        <v>2</v>
      </c>
      <c r="B3" s="1">
        <v>46039</v>
      </c>
      <c r="D3" s="2" t="s">
        <v>21</v>
      </c>
      <c r="E3">
        <v>27</v>
      </c>
      <c r="F3" s="2" t="s">
        <v>80</v>
      </c>
      <c r="G3" s="2" t="s">
        <v>24</v>
      </c>
      <c r="H3" s="2" t="s">
        <v>99</v>
      </c>
      <c r="I3" s="2" t="s">
        <v>100</v>
      </c>
      <c r="J3" s="3">
        <v>0.8</v>
      </c>
      <c r="K3" s="3">
        <v>0.59</v>
      </c>
      <c r="L3" s="3">
        <v>46.15</v>
      </c>
      <c r="M3" s="3">
        <v>23.08</v>
      </c>
      <c r="N3" s="3">
        <v>30.77</v>
      </c>
      <c r="O3" s="3">
        <v>28.57</v>
      </c>
      <c r="P3" s="3">
        <v>28.57</v>
      </c>
      <c r="Q3" s="3">
        <v>42.86</v>
      </c>
      <c r="R3" s="5">
        <f>IFERROR(IF(_0_00_A_PAINEL_MASTER_V20_APOSTA_ROD[[#This Row],[Met]]="Back_Casa",1,2),0)</f>
        <v>1</v>
      </c>
      <c r="S3" s="3">
        <v>2.09</v>
      </c>
      <c r="T3" s="3">
        <f t="shared" ref="T3:T14" si="1">T2</f>
        <v>1</v>
      </c>
      <c r="U3" s="3">
        <v>-1</v>
      </c>
      <c r="V3" s="3">
        <v>0</v>
      </c>
      <c r="W3" s="3">
        <v>0</v>
      </c>
      <c r="X3" s="3">
        <v>0</v>
      </c>
      <c r="Y3" s="3"/>
      <c r="Z3" s="7" t="s">
        <v>205</v>
      </c>
      <c r="AA3" t="s">
        <v>206</v>
      </c>
      <c r="AB3" t="s">
        <v>207</v>
      </c>
      <c r="AD3" s="8" t="s">
        <v>42</v>
      </c>
      <c r="AE3" s="2">
        <v>6</v>
      </c>
      <c r="AF3" s="2">
        <v>2.9</v>
      </c>
      <c r="AI3" s="8">
        <v>1.46</v>
      </c>
      <c r="AJ3" s="2">
        <v>1</v>
      </c>
      <c r="AK3" s="9">
        <v>1.46</v>
      </c>
      <c r="AL3" s="2">
        <v>-1</v>
      </c>
      <c r="AN3" s="8" t="s">
        <v>100</v>
      </c>
      <c r="AO3" s="2">
        <v>74</v>
      </c>
      <c r="AP3" s="10">
        <v>0.80434782608695654</v>
      </c>
      <c r="AQ3" s="9">
        <v>1.8326027397260269</v>
      </c>
      <c r="AR3" s="2">
        <v>5.8000000000000007</v>
      </c>
      <c r="AT3" s="8">
        <v>0</v>
      </c>
      <c r="AU3" s="2">
        <v>26</v>
      </c>
      <c r="AV3" s="10">
        <v>0.28260869565217389</v>
      </c>
      <c r="AW3" s="9">
        <v>1.8367999999999998</v>
      </c>
      <c r="AX3" s="2">
        <v>-24.6</v>
      </c>
      <c r="BC3" s="8">
        <v>63</v>
      </c>
      <c r="BD3" s="2">
        <v>-1</v>
      </c>
      <c r="BH3" s="8" t="s">
        <v>278</v>
      </c>
      <c r="BI3" s="2">
        <v>7</v>
      </c>
      <c r="BJ3" s="10">
        <v>7.6086956521739135E-2</v>
      </c>
      <c r="BK3" s="9">
        <v>1.8057142857142856</v>
      </c>
      <c r="BL3" s="2">
        <v>-0.54</v>
      </c>
    </row>
    <row r="4" spans="1:64" x14ac:dyDescent="0.25">
      <c r="A4">
        <f t="shared" si="0"/>
        <v>3</v>
      </c>
      <c r="B4" s="1">
        <v>46039</v>
      </c>
      <c r="D4" s="2" t="s">
        <v>36</v>
      </c>
      <c r="E4">
        <v>18</v>
      </c>
      <c r="F4" s="2" t="s">
        <v>81</v>
      </c>
      <c r="G4" s="2" t="s">
        <v>38</v>
      </c>
      <c r="H4" s="2" t="s">
        <v>99</v>
      </c>
      <c r="I4" s="2" t="s">
        <v>100</v>
      </c>
      <c r="J4" s="3">
        <v>1.21</v>
      </c>
      <c r="K4" s="3">
        <v>0.28999999999999998</v>
      </c>
      <c r="L4" s="3">
        <v>77.78</v>
      </c>
      <c r="M4" s="3">
        <v>11.11</v>
      </c>
      <c r="N4" s="3">
        <v>11.11</v>
      </c>
      <c r="O4" s="3">
        <v>0</v>
      </c>
      <c r="P4" s="3">
        <v>33.33</v>
      </c>
      <c r="Q4" s="3">
        <v>66.67</v>
      </c>
      <c r="R4" s="5">
        <f>IFERROR(IF(_0_00_A_PAINEL_MASTER_V20_APOSTA_ROD[[#This Row],[Met]]="Back_Casa",1,2),0)</f>
        <v>1</v>
      </c>
      <c r="S4" s="3">
        <v>1.46</v>
      </c>
      <c r="T4" s="3">
        <f t="shared" si="1"/>
        <v>1</v>
      </c>
      <c r="U4" s="3">
        <v>0.46</v>
      </c>
      <c r="V4" s="3">
        <v>1</v>
      </c>
      <c r="W4" s="3">
        <v>0</v>
      </c>
      <c r="X4" s="3">
        <v>1</v>
      </c>
      <c r="Y4" s="3"/>
      <c r="Z4" s="8" t="s">
        <v>231</v>
      </c>
      <c r="AA4" s="2">
        <v>62</v>
      </c>
      <c r="AB4" s="2">
        <v>3.0799999999999992</v>
      </c>
      <c r="AD4" s="8" t="s">
        <v>53</v>
      </c>
      <c r="AE4" s="2">
        <v>6</v>
      </c>
      <c r="AF4" s="2">
        <v>-1.58</v>
      </c>
      <c r="AI4" s="8">
        <v>1.84</v>
      </c>
      <c r="AJ4" s="2">
        <v>2</v>
      </c>
      <c r="AK4" s="9">
        <v>1.84</v>
      </c>
      <c r="AL4" s="2">
        <v>-0.16000000000000003</v>
      </c>
      <c r="AN4" s="8" t="s">
        <v>103</v>
      </c>
      <c r="AO4" s="2">
        <v>18</v>
      </c>
      <c r="AP4" s="10">
        <v>0.19565217391304349</v>
      </c>
      <c r="AQ4" s="9">
        <v>2.2122222222222221</v>
      </c>
      <c r="AR4" s="2">
        <v>0.84999999999999987</v>
      </c>
      <c r="AT4" s="8">
        <v>1</v>
      </c>
      <c r="AU4" s="2">
        <v>50</v>
      </c>
      <c r="AV4" s="10">
        <v>0.54347826086956519</v>
      </c>
      <c r="AW4" s="9">
        <v>1.8983999999999994</v>
      </c>
      <c r="AX4" s="2">
        <v>28.400000000000006</v>
      </c>
      <c r="BC4" s="8">
        <v>64</v>
      </c>
      <c r="BD4" s="2">
        <v>-0.19999999999999996</v>
      </c>
      <c r="BH4" s="8" t="s">
        <v>279</v>
      </c>
      <c r="BI4" s="2">
        <v>9</v>
      </c>
      <c r="BJ4" s="10">
        <v>9.7826086956521743E-2</v>
      </c>
      <c r="BK4" s="9">
        <v>1.8866666666666663</v>
      </c>
      <c r="BL4" s="2">
        <v>-1.35</v>
      </c>
    </row>
    <row r="5" spans="1:64" x14ac:dyDescent="0.25">
      <c r="A5">
        <f t="shared" si="0"/>
        <v>4</v>
      </c>
      <c r="B5" s="1">
        <v>46039</v>
      </c>
      <c r="D5" s="2" t="s">
        <v>29</v>
      </c>
      <c r="E5">
        <v>20</v>
      </c>
      <c r="F5" s="2" t="s">
        <v>30</v>
      </c>
      <c r="G5" s="2" t="s">
        <v>33</v>
      </c>
      <c r="H5" s="2" t="s">
        <v>99</v>
      </c>
      <c r="I5" s="2" t="s">
        <v>100</v>
      </c>
      <c r="J5" s="3">
        <v>0.83</v>
      </c>
      <c r="K5" s="3">
        <v>0.32</v>
      </c>
      <c r="L5" s="3">
        <v>50</v>
      </c>
      <c r="M5" s="3">
        <v>30</v>
      </c>
      <c r="N5" s="3">
        <v>20</v>
      </c>
      <c r="O5" s="3">
        <v>10</v>
      </c>
      <c r="P5" s="3">
        <v>30</v>
      </c>
      <c r="Q5" s="3">
        <v>60</v>
      </c>
      <c r="R5" s="5">
        <f>IFERROR(IF(_0_00_A_PAINEL_MASTER_V20_APOSTA_ROD[[#This Row],[Met]]="Back_Casa",1,2),0)</f>
        <v>1</v>
      </c>
      <c r="S5" s="3">
        <v>1.84</v>
      </c>
      <c r="T5" s="3">
        <f t="shared" si="1"/>
        <v>1</v>
      </c>
      <c r="U5" s="3">
        <v>0.86</v>
      </c>
      <c r="V5" s="3">
        <v>3</v>
      </c>
      <c r="W5" s="3">
        <v>2</v>
      </c>
      <c r="X5" s="3">
        <v>1</v>
      </c>
      <c r="Y5" s="3"/>
      <c r="Z5" s="8" t="s">
        <v>232</v>
      </c>
      <c r="AA5" s="2">
        <v>92</v>
      </c>
      <c r="AB5" s="2">
        <v>6.6499999999999986</v>
      </c>
      <c r="AD5" s="8" t="s">
        <v>50</v>
      </c>
      <c r="AE5" s="2">
        <v>6</v>
      </c>
      <c r="AF5" s="2">
        <v>3.8</v>
      </c>
      <c r="AI5" s="8">
        <v>2.65</v>
      </c>
      <c r="AJ5" s="2">
        <v>1</v>
      </c>
      <c r="AK5" s="9">
        <v>2.65</v>
      </c>
      <c r="AL5" s="2">
        <v>1.65</v>
      </c>
      <c r="AN5" s="8" t="s">
        <v>204</v>
      </c>
      <c r="AO5" s="2">
        <v>92</v>
      </c>
      <c r="AP5" s="10">
        <v>1</v>
      </c>
      <c r="AQ5" s="9">
        <v>1.9076923076923069</v>
      </c>
      <c r="AR5" s="2">
        <v>6.65</v>
      </c>
      <c r="AT5" s="8">
        <v>2</v>
      </c>
      <c r="AU5" s="2">
        <v>16</v>
      </c>
      <c r="AV5" s="10">
        <v>0.17391304347826086</v>
      </c>
      <c r="AW5" s="9">
        <v>2.0474999999999999</v>
      </c>
      <c r="AX5" s="2">
        <v>2.8499999999999996</v>
      </c>
      <c r="BC5" s="8">
        <v>65</v>
      </c>
      <c r="BD5" s="2">
        <v>-1.2</v>
      </c>
      <c r="BH5" s="8" t="s">
        <v>280</v>
      </c>
      <c r="BI5" s="2">
        <v>4</v>
      </c>
      <c r="BJ5" s="10">
        <v>4.3478260869565216E-2</v>
      </c>
      <c r="BK5" s="9">
        <v>2.0625</v>
      </c>
      <c r="BL5" s="2">
        <v>-2.0000000000000018E-2</v>
      </c>
    </row>
    <row r="6" spans="1:64" x14ac:dyDescent="0.25">
      <c r="A6">
        <f t="shared" si="0"/>
        <v>5</v>
      </c>
      <c r="B6" s="1">
        <v>46039</v>
      </c>
      <c r="D6" s="2" t="s">
        <v>31</v>
      </c>
      <c r="E6">
        <v>22</v>
      </c>
      <c r="F6" s="2" t="s">
        <v>34</v>
      </c>
      <c r="G6" s="2" t="s">
        <v>76</v>
      </c>
      <c r="H6" s="2" t="s">
        <v>99</v>
      </c>
      <c r="I6" s="2" t="s">
        <v>100</v>
      </c>
      <c r="J6" s="3">
        <v>0.72</v>
      </c>
      <c r="K6" s="3">
        <v>0.41</v>
      </c>
      <c r="L6" s="3">
        <v>63.64</v>
      </c>
      <c r="M6" s="3">
        <v>18.18</v>
      </c>
      <c r="N6" s="3">
        <v>18.18</v>
      </c>
      <c r="O6" s="3">
        <v>27.27</v>
      </c>
      <c r="P6" s="3">
        <v>36.36</v>
      </c>
      <c r="Q6" s="3">
        <v>36.36</v>
      </c>
      <c r="R6" s="5">
        <f>IFERROR(IF(_0_00_A_PAINEL_MASTER_V20_APOSTA_ROD[[#This Row],[Met]]="Back_Casa",1,2),0)</f>
        <v>1</v>
      </c>
      <c r="S6" s="3">
        <v>2.65</v>
      </c>
      <c r="T6" s="3">
        <f t="shared" si="1"/>
        <v>1</v>
      </c>
      <c r="U6" s="3">
        <v>-1</v>
      </c>
      <c r="V6" s="3">
        <v>1</v>
      </c>
      <c r="W6" s="3">
        <v>3</v>
      </c>
      <c r="X6" s="3">
        <v>2</v>
      </c>
      <c r="Y6" s="3"/>
      <c r="Z6" s="8" t="s">
        <v>291</v>
      </c>
      <c r="AA6" s="2">
        <v>9</v>
      </c>
      <c r="AB6" s="2">
        <v>-2.0000000000000018E-2</v>
      </c>
      <c r="AD6" s="8" t="s">
        <v>61</v>
      </c>
      <c r="AE6" s="2">
        <v>4</v>
      </c>
      <c r="AF6" s="2">
        <v>-0.47</v>
      </c>
      <c r="AI6" s="8">
        <v>2.25</v>
      </c>
      <c r="AJ6" s="2">
        <v>2</v>
      </c>
      <c r="AK6" s="9">
        <v>2.25</v>
      </c>
      <c r="AL6" s="2">
        <v>-2</v>
      </c>
      <c r="AT6" s="8" t="s">
        <v>204</v>
      </c>
      <c r="AU6" s="2">
        <v>92</v>
      </c>
      <c r="AV6" s="10">
        <v>1</v>
      </c>
      <c r="AW6" s="9">
        <v>1.9076923076923082</v>
      </c>
      <c r="AX6" s="2">
        <v>6.6500000000000021</v>
      </c>
      <c r="BC6" s="8">
        <v>66</v>
      </c>
      <c r="BD6" s="2">
        <v>-0.53999999999999992</v>
      </c>
      <c r="BH6" s="8" t="s">
        <v>281</v>
      </c>
      <c r="BI6" s="2">
        <v>13</v>
      </c>
      <c r="BJ6" s="10">
        <v>0.14130434782608695</v>
      </c>
      <c r="BK6" s="9">
        <v>1.9407692307692308</v>
      </c>
      <c r="BL6" s="2">
        <v>7.9999999999999991</v>
      </c>
    </row>
    <row r="7" spans="1:64" x14ac:dyDescent="0.25">
      <c r="A7">
        <f t="shared" si="0"/>
        <v>6</v>
      </c>
      <c r="B7" s="1">
        <v>46039</v>
      </c>
      <c r="D7" s="2" t="s">
        <v>45</v>
      </c>
      <c r="E7">
        <v>22</v>
      </c>
      <c r="F7" s="2" t="s">
        <v>46</v>
      </c>
      <c r="G7" s="2" t="s">
        <v>47</v>
      </c>
      <c r="H7" s="2" t="s">
        <v>99</v>
      </c>
      <c r="I7" s="2" t="s">
        <v>100</v>
      </c>
      <c r="J7" s="3">
        <v>1.1299999999999999</v>
      </c>
      <c r="K7" s="3">
        <v>0.45</v>
      </c>
      <c r="L7" s="3">
        <v>54.55</v>
      </c>
      <c r="M7" s="3">
        <v>27.27</v>
      </c>
      <c r="N7" s="3">
        <v>18.18</v>
      </c>
      <c r="O7" s="3">
        <v>0</v>
      </c>
      <c r="P7" s="3">
        <v>27.27</v>
      </c>
      <c r="Q7" s="3">
        <v>72.73</v>
      </c>
      <c r="R7" s="5">
        <f>IFERROR(IF(_0_00_A_PAINEL_MASTER_V20_APOSTA_ROD[[#This Row],[Met]]="Back_Casa",1,2),0)</f>
        <v>1</v>
      </c>
      <c r="S7" s="3">
        <v>2.34</v>
      </c>
      <c r="T7" s="3">
        <f t="shared" si="1"/>
        <v>1</v>
      </c>
      <c r="U7" s="3">
        <v>-1</v>
      </c>
      <c r="V7" s="3">
        <v>0</v>
      </c>
      <c r="W7" s="3">
        <v>0</v>
      </c>
      <c r="X7" s="3">
        <v>0</v>
      </c>
      <c r="Y7" s="3"/>
      <c r="Z7" s="8" t="s">
        <v>204</v>
      </c>
      <c r="AA7" s="2">
        <v>163</v>
      </c>
      <c r="AB7" s="2">
        <v>9.7100000000000009</v>
      </c>
      <c r="AD7" s="8" t="s">
        <v>29</v>
      </c>
      <c r="AE7" s="2">
        <v>7</v>
      </c>
      <c r="AF7" s="2">
        <v>-0.1100000000000001</v>
      </c>
      <c r="AI7" s="8">
        <v>1.68</v>
      </c>
      <c r="AJ7" s="2">
        <v>1</v>
      </c>
      <c r="AK7" s="9">
        <v>1.68</v>
      </c>
      <c r="AL7" s="2">
        <v>0.68</v>
      </c>
      <c r="BC7" s="8">
        <v>67</v>
      </c>
      <c r="BD7" s="2">
        <v>0.32000000000000006</v>
      </c>
      <c r="BH7" s="8" t="s">
        <v>282</v>
      </c>
      <c r="BI7" s="2">
        <v>10</v>
      </c>
      <c r="BJ7" s="10">
        <v>0.10869565217391304</v>
      </c>
      <c r="BK7" s="9">
        <v>2.101</v>
      </c>
      <c r="BL7" s="2">
        <v>2.63</v>
      </c>
    </row>
    <row r="8" spans="1:64" x14ac:dyDescent="0.25">
      <c r="A8">
        <f t="shared" si="0"/>
        <v>7</v>
      </c>
      <c r="B8" s="1">
        <v>46039</v>
      </c>
      <c r="D8" s="2" t="s">
        <v>21</v>
      </c>
      <c r="E8">
        <v>27</v>
      </c>
      <c r="F8" s="2" t="s">
        <v>101</v>
      </c>
      <c r="G8" s="2" t="s">
        <v>23</v>
      </c>
      <c r="H8" s="2" t="s">
        <v>102</v>
      </c>
      <c r="I8" s="2" t="s">
        <v>103</v>
      </c>
      <c r="J8" s="3">
        <v>0.59</v>
      </c>
      <c r="K8" s="3">
        <v>0.71</v>
      </c>
      <c r="L8" s="3">
        <v>23.08</v>
      </c>
      <c r="M8" s="3">
        <v>38.46</v>
      </c>
      <c r="N8" s="3">
        <v>38.46</v>
      </c>
      <c r="O8" s="3">
        <v>38.46</v>
      </c>
      <c r="P8" s="3">
        <v>30.77</v>
      </c>
      <c r="Q8" s="3">
        <v>30.77</v>
      </c>
      <c r="R8" s="5">
        <f>IFERROR(IF(_0_00_A_PAINEL_MASTER_V20_APOSTA_ROD[[#This Row],[Met]]="Back_Casa",1,2),0)</f>
        <v>2</v>
      </c>
      <c r="S8" s="3">
        <v>2.42</v>
      </c>
      <c r="T8" s="3">
        <f t="shared" si="1"/>
        <v>1</v>
      </c>
      <c r="U8" s="3">
        <v>1.42</v>
      </c>
      <c r="V8" s="3">
        <v>0</v>
      </c>
      <c r="W8" s="3">
        <v>3</v>
      </c>
      <c r="X8" s="3">
        <v>2</v>
      </c>
      <c r="Y8" s="3"/>
      <c r="AD8" s="8" t="s">
        <v>31</v>
      </c>
      <c r="AE8" s="2">
        <v>9</v>
      </c>
      <c r="AF8" s="2">
        <v>4.0599999999999996</v>
      </c>
      <c r="AI8" s="8">
        <v>1.77</v>
      </c>
      <c r="AJ8" s="2">
        <v>1</v>
      </c>
      <c r="AK8" s="9">
        <v>1.77</v>
      </c>
      <c r="AL8" s="2">
        <v>0.77</v>
      </c>
      <c r="BC8" s="8">
        <v>68</v>
      </c>
      <c r="BD8" s="2">
        <v>0.79</v>
      </c>
      <c r="BH8" s="8" t="s">
        <v>283</v>
      </c>
      <c r="BI8" s="2">
        <v>13</v>
      </c>
      <c r="BJ8" s="10">
        <v>0.14130434782608695</v>
      </c>
      <c r="BK8" s="9">
        <v>1.9200000000000002</v>
      </c>
      <c r="BL8" s="2">
        <v>-2.19</v>
      </c>
    </row>
    <row r="9" spans="1:64" x14ac:dyDescent="0.25">
      <c r="A9">
        <f t="shared" si="0"/>
        <v>8</v>
      </c>
      <c r="B9" s="1">
        <v>46039</v>
      </c>
      <c r="D9" s="2" t="s">
        <v>50</v>
      </c>
      <c r="E9">
        <v>20</v>
      </c>
      <c r="F9" s="2" t="s">
        <v>51</v>
      </c>
      <c r="G9" s="2" t="s">
        <v>52</v>
      </c>
      <c r="H9" s="2" t="s">
        <v>102</v>
      </c>
      <c r="I9" s="2" t="s">
        <v>103</v>
      </c>
      <c r="J9" s="3">
        <v>0.53</v>
      </c>
      <c r="K9" s="3">
        <v>1.1399999999999999</v>
      </c>
      <c r="L9" s="3">
        <v>20</v>
      </c>
      <c r="M9" s="3">
        <v>10</v>
      </c>
      <c r="N9" s="3">
        <v>70</v>
      </c>
      <c r="O9" s="3">
        <v>50</v>
      </c>
      <c r="P9" s="3">
        <v>30</v>
      </c>
      <c r="Q9" s="3">
        <v>20</v>
      </c>
      <c r="R9" s="5">
        <f>IFERROR(IF(_0_00_A_PAINEL_MASTER_V20_APOSTA_ROD[[#This Row],[Met]]="Back_Casa",1,2),0)</f>
        <v>2</v>
      </c>
      <c r="S9" s="3">
        <v>2.25</v>
      </c>
      <c r="T9" s="3">
        <f t="shared" si="1"/>
        <v>1</v>
      </c>
      <c r="U9" s="3">
        <v>1.25</v>
      </c>
      <c r="V9" s="3">
        <v>1</v>
      </c>
      <c r="W9" s="3">
        <v>2</v>
      </c>
      <c r="X9" s="3">
        <v>2</v>
      </c>
      <c r="Y9" s="3"/>
      <c r="AD9" s="8" t="s">
        <v>36</v>
      </c>
      <c r="AE9" s="2">
        <v>4</v>
      </c>
      <c r="AF9" s="2">
        <v>0.85999999999999988</v>
      </c>
      <c r="AI9" s="8">
        <v>1.78</v>
      </c>
      <c r="AJ9" s="2">
        <v>2</v>
      </c>
      <c r="AK9" s="9">
        <v>1.78</v>
      </c>
      <c r="AL9" s="2">
        <v>-0.21999999999999997</v>
      </c>
      <c r="BC9" s="8">
        <v>69</v>
      </c>
      <c r="BD9" s="2">
        <v>-0.20999999999999996</v>
      </c>
      <c r="BH9" s="8" t="s">
        <v>284</v>
      </c>
      <c r="BI9" s="2">
        <v>18</v>
      </c>
      <c r="BJ9" s="10">
        <v>0.19565217391304349</v>
      </c>
      <c r="BK9" s="9">
        <v>1.8316666666666666</v>
      </c>
      <c r="BL9" s="2">
        <v>4.29</v>
      </c>
    </row>
    <row r="10" spans="1:64" x14ac:dyDescent="0.25">
      <c r="A10">
        <f t="shared" si="0"/>
        <v>9</v>
      </c>
      <c r="B10" s="1">
        <v>46039</v>
      </c>
      <c r="D10" s="2" t="s">
        <v>63</v>
      </c>
      <c r="E10">
        <v>20</v>
      </c>
      <c r="F10" s="2" t="s">
        <v>104</v>
      </c>
      <c r="G10" s="2" t="s">
        <v>75</v>
      </c>
      <c r="H10" s="2" t="s">
        <v>102</v>
      </c>
      <c r="I10" s="2" t="s">
        <v>103</v>
      </c>
      <c r="J10" s="3">
        <v>0.7</v>
      </c>
      <c r="K10" s="3">
        <v>0.62</v>
      </c>
      <c r="L10" s="3">
        <v>30</v>
      </c>
      <c r="M10" s="3">
        <v>40</v>
      </c>
      <c r="N10" s="3">
        <v>30</v>
      </c>
      <c r="O10" s="3">
        <v>45.45</v>
      </c>
      <c r="P10" s="3">
        <v>18.18</v>
      </c>
      <c r="Q10" s="3">
        <v>36.36</v>
      </c>
      <c r="R10" s="5">
        <f>IFERROR(IF(_0_00_A_PAINEL_MASTER_V20_APOSTA_ROD[[#This Row],[Met]]="Back_Casa",1,2),0)</f>
        <v>2</v>
      </c>
      <c r="S10" s="3">
        <v>1.68</v>
      </c>
      <c r="T10" s="3">
        <f t="shared" si="1"/>
        <v>1</v>
      </c>
      <c r="U10" s="3">
        <v>-1</v>
      </c>
      <c r="V10" s="3">
        <v>0</v>
      </c>
      <c r="W10" s="3">
        <v>1</v>
      </c>
      <c r="X10" s="3">
        <v>2</v>
      </c>
      <c r="Y10" s="3"/>
      <c r="Z10" s="7" t="s">
        <v>205</v>
      </c>
      <c r="AA10" t="s">
        <v>206</v>
      </c>
      <c r="AB10" t="s">
        <v>207</v>
      </c>
      <c r="AD10" s="8" t="s">
        <v>154</v>
      </c>
      <c r="AE10" s="2">
        <v>3</v>
      </c>
      <c r="AF10" s="2">
        <v>-1.01</v>
      </c>
      <c r="AI10" s="8">
        <v>1.99</v>
      </c>
      <c r="AJ10" s="2">
        <v>1</v>
      </c>
      <c r="AK10" s="9">
        <v>1.99</v>
      </c>
      <c r="AL10" s="2">
        <v>0.99</v>
      </c>
      <c r="BC10" s="8">
        <v>70</v>
      </c>
      <c r="BD10" s="2">
        <v>0.32000000000000006</v>
      </c>
      <c r="BH10" s="8" t="s">
        <v>285</v>
      </c>
      <c r="BI10" s="2">
        <v>10</v>
      </c>
      <c r="BJ10" s="10">
        <v>0.10869565217391304</v>
      </c>
      <c r="BK10" s="9">
        <v>1.8333333333333333</v>
      </c>
      <c r="BL10" s="2">
        <v>-3.3200000000000003</v>
      </c>
    </row>
    <row r="11" spans="1:64" x14ac:dyDescent="0.25">
      <c r="A11">
        <f t="shared" si="0"/>
        <v>10</v>
      </c>
      <c r="B11" s="1">
        <v>46039</v>
      </c>
      <c r="D11" s="2" t="s">
        <v>41</v>
      </c>
      <c r="E11">
        <v>19</v>
      </c>
      <c r="F11" s="2" t="s">
        <v>124</v>
      </c>
      <c r="G11" s="2" t="s">
        <v>125</v>
      </c>
      <c r="H11" s="2" t="s">
        <v>102</v>
      </c>
      <c r="I11" s="2" t="s">
        <v>103</v>
      </c>
      <c r="J11" s="3">
        <v>0.56999999999999995</v>
      </c>
      <c r="K11" s="3">
        <v>0.94</v>
      </c>
      <c r="L11" s="3">
        <v>44.44</v>
      </c>
      <c r="M11" s="3">
        <v>22.22</v>
      </c>
      <c r="N11" s="3">
        <v>33.33</v>
      </c>
      <c r="O11" s="3">
        <v>40</v>
      </c>
      <c r="P11" s="3">
        <v>20</v>
      </c>
      <c r="Q11" s="3">
        <v>40</v>
      </c>
      <c r="R11" s="5">
        <f>IFERROR(IF(_0_00_A_PAINEL_MASTER_V20_APOSTA_ROD[[#This Row],[Met]]="Back_Casa",1,2),0)</f>
        <v>2</v>
      </c>
      <c r="S11" s="3">
        <v>1.45</v>
      </c>
      <c r="T11" s="3">
        <f t="shared" si="1"/>
        <v>1</v>
      </c>
      <c r="U11" s="3">
        <v>0.45</v>
      </c>
      <c r="V11" s="3">
        <v>2</v>
      </c>
      <c r="W11" s="3">
        <v>1</v>
      </c>
      <c r="X11" s="3">
        <v>1</v>
      </c>
      <c r="Y11" s="3"/>
      <c r="Z11" s="8" t="s">
        <v>232</v>
      </c>
      <c r="AA11" s="2">
        <v>92</v>
      </c>
      <c r="AB11" s="2">
        <v>6.65</v>
      </c>
      <c r="AD11" s="8" t="s">
        <v>41</v>
      </c>
      <c r="AE11" s="2">
        <v>1</v>
      </c>
      <c r="AF11" s="2">
        <v>-1</v>
      </c>
      <c r="AI11" s="8">
        <v>2.1800000000000002</v>
      </c>
      <c r="AJ11" s="2">
        <v>1</v>
      </c>
      <c r="AK11" s="9">
        <v>2.1800000000000002</v>
      </c>
      <c r="AL11" s="2">
        <v>-1</v>
      </c>
      <c r="BC11" s="8">
        <v>71</v>
      </c>
      <c r="BD11" s="2">
        <v>-0.67999999999999994</v>
      </c>
      <c r="BH11" s="8" t="s">
        <v>286</v>
      </c>
      <c r="BI11" s="2">
        <v>7</v>
      </c>
      <c r="BJ11" s="10">
        <v>7.6086956521739135E-2</v>
      </c>
      <c r="BK11" s="9">
        <v>1.9028571428571432</v>
      </c>
      <c r="BL11" s="2">
        <v>0.15000000000000036</v>
      </c>
    </row>
    <row r="12" spans="1:64" x14ac:dyDescent="0.25">
      <c r="A12">
        <f t="shared" si="0"/>
        <v>11</v>
      </c>
      <c r="B12" s="1">
        <v>46040</v>
      </c>
      <c r="D12" s="2" t="s">
        <v>20</v>
      </c>
      <c r="E12">
        <v>22</v>
      </c>
      <c r="F12" s="2" t="s">
        <v>64</v>
      </c>
      <c r="G12" s="2" t="s">
        <v>66</v>
      </c>
      <c r="H12" s="2" t="s">
        <v>99</v>
      </c>
      <c r="I12" s="2" t="s">
        <v>100</v>
      </c>
      <c r="J12" s="3">
        <v>1.05</v>
      </c>
      <c r="K12" s="3">
        <v>0.49</v>
      </c>
      <c r="L12" s="3">
        <v>72.73</v>
      </c>
      <c r="M12" s="3">
        <v>18.18</v>
      </c>
      <c r="N12" s="3">
        <v>9.09</v>
      </c>
      <c r="O12" s="3">
        <v>36.36</v>
      </c>
      <c r="P12" s="3">
        <v>27.27</v>
      </c>
      <c r="Q12" s="3">
        <v>36.36</v>
      </c>
      <c r="R12" s="5">
        <f>IFERROR(IF(_0_00_A_PAINEL_MASTER_V20_APOSTA_ROD[[#This Row],[Met]]="Back_Casa",1,2),0)</f>
        <v>1</v>
      </c>
      <c r="S12" s="3">
        <v>1.64</v>
      </c>
      <c r="T12" s="3">
        <f t="shared" si="1"/>
        <v>1</v>
      </c>
      <c r="U12" s="3">
        <v>-1</v>
      </c>
      <c r="V12" s="3">
        <v>1</v>
      </c>
      <c r="W12" s="3">
        <v>1</v>
      </c>
      <c r="X12" s="3">
        <v>0</v>
      </c>
      <c r="Y12" s="3"/>
      <c r="Z12" s="8" t="s">
        <v>204</v>
      </c>
      <c r="AA12" s="2">
        <v>92</v>
      </c>
      <c r="AB12" s="2">
        <v>6.65</v>
      </c>
      <c r="AD12" s="8" t="s">
        <v>43</v>
      </c>
      <c r="AE12" s="2">
        <v>4</v>
      </c>
      <c r="AF12" s="2">
        <v>3.83</v>
      </c>
      <c r="AI12" s="8">
        <v>2.7</v>
      </c>
      <c r="AJ12" s="2">
        <v>1</v>
      </c>
      <c r="AK12" s="9">
        <v>2.7</v>
      </c>
      <c r="AL12" s="2">
        <v>-1</v>
      </c>
      <c r="BC12" s="8">
        <v>72</v>
      </c>
      <c r="BD12" s="2">
        <v>-1.68</v>
      </c>
      <c r="BH12" s="8" t="s">
        <v>287</v>
      </c>
      <c r="BI12" s="2">
        <v>1</v>
      </c>
      <c r="BJ12" s="10">
        <v>1.0869565217391304E-2</v>
      </c>
      <c r="BK12" s="9">
        <v>1.74</v>
      </c>
      <c r="BL12" s="2">
        <v>-1</v>
      </c>
    </row>
    <row r="13" spans="1:64" x14ac:dyDescent="0.25">
      <c r="A13">
        <f t="shared" si="0"/>
        <v>12</v>
      </c>
      <c r="B13" s="1">
        <v>46040</v>
      </c>
      <c r="D13" s="2" t="s">
        <v>36</v>
      </c>
      <c r="E13">
        <v>18</v>
      </c>
      <c r="F13" s="2" t="s">
        <v>105</v>
      </c>
      <c r="G13" s="2" t="s">
        <v>106</v>
      </c>
      <c r="H13" s="2" t="s">
        <v>99</v>
      </c>
      <c r="I13" s="2" t="s">
        <v>100</v>
      </c>
      <c r="J13" s="3">
        <v>0.98</v>
      </c>
      <c r="K13" s="3">
        <v>0.7</v>
      </c>
      <c r="L13" s="3">
        <v>55.56</v>
      </c>
      <c r="M13" s="3">
        <v>22.22</v>
      </c>
      <c r="N13" s="3">
        <v>22.22</v>
      </c>
      <c r="O13" s="3">
        <v>10</v>
      </c>
      <c r="P13" s="3">
        <v>20</v>
      </c>
      <c r="Q13" s="3">
        <v>70</v>
      </c>
      <c r="R13" s="5">
        <f>IFERROR(IF(_0_00_A_PAINEL_MASTER_V20_APOSTA_ROD[[#This Row],[Met]]="Back_Casa",1,2),0)</f>
        <v>1</v>
      </c>
      <c r="S13" s="3">
        <v>1.64</v>
      </c>
      <c r="T13" s="3">
        <f t="shared" si="1"/>
        <v>1</v>
      </c>
      <c r="U13" s="3">
        <v>0.64</v>
      </c>
      <c r="V13" s="3">
        <v>2</v>
      </c>
      <c r="W13" s="3">
        <v>1</v>
      </c>
      <c r="X13" s="3">
        <v>1</v>
      </c>
      <c r="Y13" s="3"/>
      <c r="AD13" s="8" t="s">
        <v>20</v>
      </c>
      <c r="AE13" s="2">
        <v>8</v>
      </c>
      <c r="AF13" s="2">
        <v>-2.61</v>
      </c>
      <c r="AI13" s="8">
        <v>1.6</v>
      </c>
      <c r="AJ13" s="2">
        <v>1</v>
      </c>
      <c r="AK13" s="9">
        <v>1.6</v>
      </c>
      <c r="AL13" s="2">
        <v>0.6</v>
      </c>
      <c r="BC13" s="8">
        <v>73</v>
      </c>
      <c r="BD13" s="2">
        <v>-0.51</v>
      </c>
      <c r="BH13" s="8" t="s">
        <v>204</v>
      </c>
      <c r="BI13" s="2">
        <v>92</v>
      </c>
      <c r="BJ13" s="10">
        <v>1</v>
      </c>
      <c r="BK13" s="9">
        <v>1.907692307692308</v>
      </c>
      <c r="BL13" s="2">
        <v>6.65</v>
      </c>
    </row>
    <row r="14" spans="1:64" x14ac:dyDescent="0.25">
      <c r="A14">
        <f t="shared" si="0"/>
        <v>13</v>
      </c>
      <c r="B14" s="1">
        <v>46040</v>
      </c>
      <c r="D14" s="2" t="s">
        <v>36</v>
      </c>
      <c r="E14">
        <v>18</v>
      </c>
      <c r="F14" s="2" t="s">
        <v>82</v>
      </c>
      <c r="G14" s="2" t="s">
        <v>39</v>
      </c>
      <c r="H14" s="2" t="s">
        <v>99</v>
      </c>
      <c r="I14" s="2" t="s">
        <v>100</v>
      </c>
      <c r="J14" s="3">
        <v>1.45</v>
      </c>
      <c r="K14" s="3">
        <v>0.27</v>
      </c>
      <c r="L14" s="3">
        <v>55.56</v>
      </c>
      <c r="M14" s="3">
        <v>33.33</v>
      </c>
      <c r="N14" s="3">
        <v>11.11</v>
      </c>
      <c r="O14" s="3">
        <v>11.11</v>
      </c>
      <c r="P14" s="3">
        <v>33.33</v>
      </c>
      <c r="Q14" s="3">
        <v>55.56</v>
      </c>
      <c r="R14" s="5">
        <f>IFERROR(IF(_0_00_A_PAINEL_MASTER_V20_APOSTA_ROD[[#This Row],[Met]]="Back_Casa",1,2),0)</f>
        <v>1</v>
      </c>
      <c r="S14" s="3">
        <v>1.77</v>
      </c>
      <c r="T14" s="3">
        <f t="shared" si="1"/>
        <v>1</v>
      </c>
      <c r="U14" s="3">
        <v>0.77</v>
      </c>
      <c r="V14" s="3">
        <v>1</v>
      </c>
      <c r="W14" s="3">
        <v>0</v>
      </c>
      <c r="X14" s="3">
        <v>1</v>
      </c>
      <c r="Y14" s="3"/>
      <c r="AD14" s="8" t="s">
        <v>21</v>
      </c>
      <c r="AE14" s="2">
        <v>5</v>
      </c>
      <c r="AF14" s="2">
        <v>-2.27</v>
      </c>
      <c r="AI14" s="8">
        <v>1.4</v>
      </c>
      <c r="AJ14" s="2">
        <v>1</v>
      </c>
      <c r="AK14" s="9">
        <v>1.4</v>
      </c>
      <c r="AL14" s="2">
        <v>0.4</v>
      </c>
      <c r="BC14" s="8">
        <v>74</v>
      </c>
      <c r="BD14" s="2">
        <v>0.65999999999999992</v>
      </c>
    </row>
    <row r="15" spans="1:64" x14ac:dyDescent="0.25">
      <c r="A15">
        <f t="shared" si="0"/>
        <v>14</v>
      </c>
      <c r="B15" s="1">
        <v>46040</v>
      </c>
      <c r="D15" s="2" t="s">
        <v>36</v>
      </c>
      <c r="E15">
        <v>18</v>
      </c>
      <c r="F15" s="2" t="s">
        <v>83</v>
      </c>
      <c r="G15" s="2" t="s">
        <v>37</v>
      </c>
      <c r="H15" s="2" t="s">
        <v>99</v>
      </c>
      <c r="I15" s="2" t="s">
        <v>100</v>
      </c>
      <c r="J15" s="3">
        <v>1.01</v>
      </c>
      <c r="K15" s="3">
        <v>0.64</v>
      </c>
      <c r="L15" s="3">
        <v>66.67</v>
      </c>
      <c r="M15" s="3">
        <v>11.11</v>
      </c>
      <c r="N15" s="3">
        <v>22.22</v>
      </c>
      <c r="O15" s="3">
        <v>22.22</v>
      </c>
      <c r="P15" s="3">
        <v>22.22</v>
      </c>
      <c r="Q15" s="3">
        <v>55.56</v>
      </c>
      <c r="R15" s="5">
        <f>IFERROR(IF(_0_00_A_PAINEL_MASTER_V20_APOSTA_ROD[[#This Row],[Met]]="Back_Casa",1,2),0)</f>
        <v>1</v>
      </c>
      <c r="S15" s="3">
        <v>1.68</v>
      </c>
      <c r="T15" s="3">
        <v>1</v>
      </c>
      <c r="U15" s="3">
        <v>0.68</v>
      </c>
      <c r="V15" s="3">
        <v>2</v>
      </c>
      <c r="W15" s="3">
        <v>1</v>
      </c>
      <c r="X15" s="3">
        <v>1</v>
      </c>
      <c r="Y15" s="3"/>
      <c r="AD15" s="8" t="s">
        <v>27</v>
      </c>
      <c r="AE15" s="2">
        <v>13</v>
      </c>
      <c r="AF15" s="2">
        <v>1.7699999999999996</v>
      </c>
      <c r="AI15" s="8">
        <v>1.8</v>
      </c>
      <c r="AJ15" s="2">
        <v>3</v>
      </c>
      <c r="AK15" s="9">
        <v>1.8</v>
      </c>
      <c r="AL15" s="2">
        <v>0.60000000000000009</v>
      </c>
      <c r="BC15" s="8">
        <v>75</v>
      </c>
      <c r="BD15" s="2">
        <v>-0.34000000000000008</v>
      </c>
    </row>
    <row r="16" spans="1:64" x14ac:dyDescent="0.25">
      <c r="A16">
        <f t="shared" si="0"/>
        <v>15</v>
      </c>
      <c r="B16" s="1">
        <v>46040</v>
      </c>
      <c r="D16" s="2" t="s">
        <v>61</v>
      </c>
      <c r="E16">
        <v>21</v>
      </c>
      <c r="F16" s="2" t="s">
        <v>84</v>
      </c>
      <c r="G16" s="2" t="s">
        <v>85</v>
      </c>
      <c r="H16" s="2" t="s">
        <v>99</v>
      </c>
      <c r="I16" s="2" t="s">
        <v>100</v>
      </c>
      <c r="J16" s="3">
        <v>1.01</v>
      </c>
      <c r="K16" s="3">
        <v>0.4</v>
      </c>
      <c r="L16" s="3">
        <v>63.64</v>
      </c>
      <c r="M16" s="3">
        <v>18.18</v>
      </c>
      <c r="N16" s="3">
        <v>18.18</v>
      </c>
      <c r="O16" s="3">
        <v>27.27</v>
      </c>
      <c r="P16" s="3">
        <v>27.27</v>
      </c>
      <c r="Q16" s="3">
        <v>45.45</v>
      </c>
      <c r="R16" s="5">
        <f>IFERROR(IF(_0_00_A_PAINEL_MASTER_V20_APOSTA_ROD[[#This Row],[Met]]="Back_Casa",1,2),0)</f>
        <v>1</v>
      </c>
      <c r="S16" s="3">
        <v>1.77</v>
      </c>
      <c r="T16" s="3">
        <v>1</v>
      </c>
      <c r="U16" s="3">
        <v>0.77</v>
      </c>
      <c r="V16" s="3">
        <v>1</v>
      </c>
      <c r="W16" s="3">
        <v>0</v>
      </c>
      <c r="X16" s="3">
        <v>1</v>
      </c>
      <c r="Y16" s="3"/>
      <c r="AD16" s="8" t="s">
        <v>62</v>
      </c>
      <c r="AE16" s="2">
        <v>2</v>
      </c>
      <c r="AF16" s="2">
        <v>1.1299999999999999</v>
      </c>
      <c r="AI16" s="8">
        <v>1.44</v>
      </c>
      <c r="AJ16" s="2">
        <v>1</v>
      </c>
      <c r="AK16" s="9">
        <v>1.44</v>
      </c>
      <c r="AL16" s="2">
        <v>0.44</v>
      </c>
      <c r="BC16" s="8">
        <v>76</v>
      </c>
      <c r="BD16" s="2">
        <v>-1.34</v>
      </c>
    </row>
    <row r="17" spans="1:56" x14ac:dyDescent="0.25">
      <c r="A17">
        <f t="shared" si="0"/>
        <v>16</v>
      </c>
      <c r="B17" s="1">
        <v>46041</v>
      </c>
      <c r="D17" s="2" t="s">
        <v>43</v>
      </c>
      <c r="E17">
        <v>23</v>
      </c>
      <c r="F17" s="2" t="s">
        <v>89</v>
      </c>
      <c r="G17" s="2" t="s">
        <v>90</v>
      </c>
      <c r="H17" s="2" t="s">
        <v>102</v>
      </c>
      <c r="I17" s="2" t="s">
        <v>103</v>
      </c>
      <c r="J17" s="3">
        <v>0.88</v>
      </c>
      <c r="K17" s="3">
        <v>1.0900000000000001</v>
      </c>
      <c r="L17" s="3">
        <v>16.670000000000002</v>
      </c>
      <c r="M17" s="3">
        <v>41.67</v>
      </c>
      <c r="N17" s="3">
        <v>41.67</v>
      </c>
      <c r="O17" s="3">
        <v>50</v>
      </c>
      <c r="P17" s="3">
        <v>33.33</v>
      </c>
      <c r="Q17" s="3">
        <v>16.670000000000002</v>
      </c>
      <c r="R17" s="5">
        <f>IFERROR(IF(_0_00_A_PAINEL_MASTER_V20_APOSTA_ROD[[#This Row],[Met]]="Back_Casa",1,2),0)</f>
        <v>2</v>
      </c>
      <c r="S17" s="3">
        <v>1.95</v>
      </c>
      <c r="T17" s="3">
        <f>T14</f>
        <v>1</v>
      </c>
      <c r="U17" s="3">
        <v>-1</v>
      </c>
      <c r="V17" s="3">
        <v>2</v>
      </c>
      <c r="W17" s="3">
        <v>2</v>
      </c>
      <c r="X17" s="3">
        <v>0</v>
      </c>
      <c r="Y17" s="3"/>
      <c r="AD17" s="8" t="s">
        <v>63</v>
      </c>
      <c r="AE17" s="2">
        <v>6</v>
      </c>
      <c r="AF17" s="2">
        <v>-1.2600000000000002</v>
      </c>
      <c r="AI17" s="8">
        <v>1.71</v>
      </c>
      <c r="AJ17" s="2">
        <v>1</v>
      </c>
      <c r="AK17" s="9">
        <v>1.71</v>
      </c>
      <c r="AL17" s="2">
        <v>0.71</v>
      </c>
      <c r="BC17" s="8">
        <v>77</v>
      </c>
      <c r="BD17" s="2">
        <v>-2.34</v>
      </c>
    </row>
    <row r="18" spans="1:56" x14ac:dyDescent="0.25">
      <c r="A18">
        <f t="shared" si="0"/>
        <v>17</v>
      </c>
      <c r="B18" s="1">
        <v>46044</v>
      </c>
      <c r="D18" s="2" t="s">
        <v>27</v>
      </c>
      <c r="E18">
        <v>28</v>
      </c>
      <c r="F18" s="2" t="s">
        <v>68</v>
      </c>
      <c r="G18" s="2" t="s">
        <v>108</v>
      </c>
      <c r="H18" s="2" t="s">
        <v>99</v>
      </c>
      <c r="I18" s="2" t="s">
        <v>100</v>
      </c>
      <c r="J18" s="3">
        <v>1.1000000000000001</v>
      </c>
      <c r="K18" s="3">
        <v>0.49</v>
      </c>
      <c r="L18" s="3">
        <v>69.23</v>
      </c>
      <c r="M18" s="3">
        <v>23.08</v>
      </c>
      <c r="N18" s="3">
        <v>7.69</v>
      </c>
      <c r="O18" s="3">
        <v>23.08</v>
      </c>
      <c r="P18" s="3">
        <v>38.46</v>
      </c>
      <c r="Q18" s="3">
        <v>38.46</v>
      </c>
      <c r="R18" s="5">
        <f>IFERROR(IF(_0_00_A_PAINEL_MASTER_V20_APOSTA_ROD[[#This Row],[Met]]="Back_Casa",1,2),0)</f>
        <v>1</v>
      </c>
      <c r="S18" s="3">
        <v>1.45</v>
      </c>
      <c r="T18" s="3">
        <v>1</v>
      </c>
      <c r="U18" s="3">
        <v>0.45</v>
      </c>
      <c r="V18" s="3">
        <v>2</v>
      </c>
      <c r="W18" s="3">
        <v>1</v>
      </c>
      <c r="X18" s="3">
        <v>1</v>
      </c>
      <c r="Y18" s="3"/>
      <c r="AD18" s="8" t="s">
        <v>45</v>
      </c>
      <c r="AE18" s="2">
        <v>1</v>
      </c>
      <c r="AF18" s="2">
        <v>1.26</v>
      </c>
      <c r="AI18" s="8">
        <v>1.57</v>
      </c>
      <c r="AJ18" s="2">
        <v>1</v>
      </c>
      <c r="AK18" s="9">
        <v>1.57</v>
      </c>
      <c r="AL18" s="2">
        <v>-1</v>
      </c>
      <c r="BC18" s="8">
        <v>78</v>
      </c>
      <c r="BD18" s="2">
        <v>-1.65</v>
      </c>
    </row>
    <row r="19" spans="1:56" x14ac:dyDescent="0.25">
      <c r="A19">
        <f t="shared" si="0"/>
        <v>18</v>
      </c>
      <c r="B19" s="1">
        <v>46045</v>
      </c>
      <c r="D19" s="2" t="s">
        <v>45</v>
      </c>
      <c r="E19">
        <v>23</v>
      </c>
      <c r="F19" s="2" t="s">
        <v>47</v>
      </c>
      <c r="G19" s="2" t="s">
        <v>131</v>
      </c>
      <c r="H19" s="2" t="s">
        <v>102</v>
      </c>
      <c r="I19" s="2" t="s">
        <v>103</v>
      </c>
      <c r="J19" s="3">
        <v>0.47</v>
      </c>
      <c r="K19" s="3">
        <v>0.63</v>
      </c>
      <c r="L19" s="3">
        <v>18.18</v>
      </c>
      <c r="M19" s="3">
        <v>27.27</v>
      </c>
      <c r="N19" s="3">
        <v>54.55</v>
      </c>
      <c r="O19" s="3">
        <v>45.45</v>
      </c>
      <c r="P19" s="3">
        <v>18.18</v>
      </c>
      <c r="Q19" s="3">
        <v>36.36</v>
      </c>
      <c r="R19" s="5">
        <f>IFERROR(IF(_0_00_A_PAINEL_MASTER_V20_APOSTA_ROD[[#This Row],[Met]]="Back_Casa",1,2),0)</f>
        <v>2</v>
      </c>
      <c r="S19" s="3">
        <v>1.78</v>
      </c>
      <c r="T19" s="3">
        <v>1</v>
      </c>
      <c r="U19" s="3">
        <v>0.78</v>
      </c>
      <c r="V19" s="3">
        <v>0</v>
      </c>
      <c r="W19" s="3">
        <v>2</v>
      </c>
      <c r="X19" s="3">
        <v>2</v>
      </c>
      <c r="Y19" s="3"/>
      <c r="AD19" s="8" t="s">
        <v>48</v>
      </c>
      <c r="AE19" s="2">
        <v>5</v>
      </c>
      <c r="AF19" s="2">
        <v>-0.64999999999999991</v>
      </c>
      <c r="AI19" s="8">
        <v>1.94</v>
      </c>
      <c r="AJ19" s="2">
        <v>2</v>
      </c>
      <c r="AK19" s="9">
        <v>1.94</v>
      </c>
      <c r="AL19" s="2">
        <v>-6.0000000000000053E-2</v>
      </c>
      <c r="BC19" s="8">
        <v>79</v>
      </c>
      <c r="BD19" s="2">
        <v>-2.65</v>
      </c>
    </row>
    <row r="20" spans="1:56" x14ac:dyDescent="0.25">
      <c r="A20">
        <f t="shared" si="0"/>
        <v>19</v>
      </c>
      <c r="B20" s="1">
        <v>46045</v>
      </c>
      <c r="D20" s="2" t="s">
        <v>53</v>
      </c>
      <c r="E20">
        <v>19</v>
      </c>
      <c r="F20" s="2" t="s">
        <v>109</v>
      </c>
      <c r="G20" s="2" t="s">
        <v>110</v>
      </c>
      <c r="H20" s="2" t="s">
        <v>99</v>
      </c>
      <c r="I20" s="2" t="s">
        <v>100</v>
      </c>
      <c r="J20" s="3">
        <v>1.27</v>
      </c>
      <c r="K20" s="3">
        <v>0.63</v>
      </c>
      <c r="L20" s="3">
        <v>66.67</v>
      </c>
      <c r="M20" s="3">
        <v>33.33</v>
      </c>
      <c r="N20" s="3">
        <v>0</v>
      </c>
      <c r="O20" s="3">
        <v>25</v>
      </c>
      <c r="P20" s="3">
        <v>12.5</v>
      </c>
      <c r="Q20" s="3">
        <v>62.5</v>
      </c>
      <c r="R20" s="5">
        <f>IFERROR(IF(_0_00_A_PAINEL_MASTER_V20_APOSTA_ROD[[#This Row],[Met]]="Back_Casa",1,2),0)</f>
        <v>1</v>
      </c>
      <c r="S20" s="3">
        <v>1.99</v>
      </c>
      <c r="T20" s="3">
        <v>1</v>
      </c>
      <c r="U20" s="3">
        <v>0.99</v>
      </c>
      <c r="V20" s="3">
        <v>2</v>
      </c>
      <c r="W20" s="3">
        <v>0</v>
      </c>
      <c r="X20" s="3">
        <v>1</v>
      </c>
      <c r="Y20" s="3"/>
      <c r="AD20" s="8" t="s">
        <v>201</v>
      </c>
      <c r="AE20" s="2">
        <v>2</v>
      </c>
      <c r="AF20" s="2">
        <v>-2</v>
      </c>
      <c r="AI20" s="8">
        <v>1.79</v>
      </c>
      <c r="AJ20" s="2">
        <v>1</v>
      </c>
      <c r="AK20" s="9">
        <v>1.79</v>
      </c>
      <c r="AL20" s="2">
        <v>-1</v>
      </c>
      <c r="BC20" s="8">
        <v>80</v>
      </c>
      <c r="BD20" s="2">
        <v>-2.15</v>
      </c>
    </row>
    <row r="21" spans="1:56" x14ac:dyDescent="0.25">
      <c r="A21">
        <f t="shared" si="0"/>
        <v>20</v>
      </c>
      <c r="B21" s="1">
        <v>46045</v>
      </c>
      <c r="D21" s="2" t="s">
        <v>50</v>
      </c>
      <c r="E21">
        <v>21</v>
      </c>
      <c r="F21" s="2" t="s">
        <v>111</v>
      </c>
      <c r="G21" s="2" t="s">
        <v>112</v>
      </c>
      <c r="H21" s="2" t="s">
        <v>99</v>
      </c>
      <c r="I21" s="2" t="s">
        <v>100</v>
      </c>
      <c r="J21" s="3">
        <v>0.94</v>
      </c>
      <c r="K21" s="3">
        <v>0.7</v>
      </c>
      <c r="L21" s="3">
        <v>50</v>
      </c>
      <c r="M21" s="3">
        <v>20</v>
      </c>
      <c r="N21" s="3">
        <v>30</v>
      </c>
      <c r="O21" s="3">
        <v>10</v>
      </c>
      <c r="P21" s="3">
        <v>40</v>
      </c>
      <c r="Q21" s="3">
        <v>50</v>
      </c>
      <c r="R21" s="5">
        <f>IFERROR(IF(_0_00_A_PAINEL_MASTER_V20_APOSTA_ROD[[#This Row],[Met]]="Back_Casa",1,2),0)</f>
        <v>1</v>
      </c>
      <c r="S21" s="3">
        <v>2.77</v>
      </c>
      <c r="T21" s="3">
        <v>1</v>
      </c>
      <c r="U21" s="3">
        <v>1.77</v>
      </c>
      <c r="V21" s="3">
        <v>2</v>
      </c>
      <c r="W21" s="3">
        <v>0</v>
      </c>
      <c r="X21" s="3">
        <v>1</v>
      </c>
      <c r="Y21" s="3"/>
      <c r="AD21" s="8" t="s">
        <v>204</v>
      </c>
      <c r="AE21" s="2">
        <v>92</v>
      </c>
      <c r="AF21" s="2">
        <v>6.6499999999999986</v>
      </c>
      <c r="AI21" s="8">
        <v>2.0699999999999998</v>
      </c>
      <c r="AJ21" s="2">
        <v>1</v>
      </c>
      <c r="AK21" s="9">
        <v>2.0699999999999998</v>
      </c>
      <c r="AL21" s="2">
        <v>-1</v>
      </c>
      <c r="BC21" s="8">
        <v>81</v>
      </c>
      <c r="BD21" s="2">
        <v>-1.5499999999999998</v>
      </c>
    </row>
    <row r="22" spans="1:56" x14ac:dyDescent="0.25">
      <c r="A22">
        <f t="shared" si="0"/>
        <v>21</v>
      </c>
      <c r="B22" s="1">
        <v>46046</v>
      </c>
      <c r="D22" s="2" t="s">
        <v>48</v>
      </c>
      <c r="E22">
        <v>19</v>
      </c>
      <c r="F22" s="2" t="s">
        <v>56</v>
      </c>
      <c r="G22" s="2" t="s">
        <v>49</v>
      </c>
      <c r="H22" s="2" t="s">
        <v>102</v>
      </c>
      <c r="I22" s="2" t="s">
        <v>103</v>
      </c>
      <c r="J22" s="3">
        <v>0.45</v>
      </c>
      <c r="K22" s="3">
        <v>0.91</v>
      </c>
      <c r="L22" s="3">
        <v>12.5</v>
      </c>
      <c r="M22" s="3">
        <v>37.5</v>
      </c>
      <c r="N22" s="3">
        <v>50</v>
      </c>
      <c r="O22" s="3">
        <v>44.44</v>
      </c>
      <c r="P22" s="3">
        <v>11.11</v>
      </c>
      <c r="Q22" s="3">
        <v>44.44</v>
      </c>
      <c r="R22" s="5">
        <f>IFERROR(IF(_0_00_A_PAINEL_MASTER_V20_APOSTA_ROD[[#This Row],[Met]]="Back_Casa",1,2),0)</f>
        <v>2</v>
      </c>
      <c r="S22" s="3">
        <v>2.1800000000000002</v>
      </c>
      <c r="T22" s="3">
        <v>1</v>
      </c>
      <c r="U22" s="3">
        <v>1.18</v>
      </c>
      <c r="V22" s="3">
        <v>0</v>
      </c>
      <c r="W22" s="3">
        <v>3</v>
      </c>
      <c r="X22" s="3">
        <v>2</v>
      </c>
      <c r="Y22" s="3"/>
      <c r="Z22" s="3"/>
      <c r="AA22" s="3"/>
      <c r="AB22" s="3"/>
      <c r="AI22" s="8">
        <v>1.74</v>
      </c>
      <c r="AJ22" s="2">
        <v>2</v>
      </c>
      <c r="AK22" s="9">
        <v>1.74</v>
      </c>
      <c r="AL22" s="2">
        <v>-0.26</v>
      </c>
      <c r="BC22" s="8">
        <v>82</v>
      </c>
      <c r="BD22" s="2">
        <v>-0.92999999999999983</v>
      </c>
    </row>
    <row r="23" spans="1:56" x14ac:dyDescent="0.25">
      <c r="A23">
        <f t="shared" si="0"/>
        <v>22</v>
      </c>
      <c r="B23" s="1">
        <v>46046</v>
      </c>
      <c r="D23" s="2" t="s">
        <v>20</v>
      </c>
      <c r="E23">
        <v>23</v>
      </c>
      <c r="F23" s="2" t="s">
        <v>130</v>
      </c>
      <c r="G23" s="2" t="s">
        <v>65</v>
      </c>
      <c r="H23" s="2" t="s">
        <v>102</v>
      </c>
      <c r="I23" s="2" t="s">
        <v>103</v>
      </c>
      <c r="J23" s="3">
        <v>0.48</v>
      </c>
      <c r="K23" s="3">
        <v>0.98</v>
      </c>
      <c r="L23" s="3">
        <v>18.18</v>
      </c>
      <c r="M23" s="3">
        <v>27.27</v>
      </c>
      <c r="N23" s="3">
        <v>54.55</v>
      </c>
      <c r="O23" s="3">
        <v>45.45</v>
      </c>
      <c r="P23" s="3">
        <v>27.27</v>
      </c>
      <c r="Q23" s="3">
        <v>27.27</v>
      </c>
      <c r="R23" s="5">
        <f>IFERROR(IF(_0_00_A_PAINEL_MASTER_V20_APOSTA_ROD[[#This Row],[Met]]="Back_Casa",1,2),0)</f>
        <v>2</v>
      </c>
      <c r="S23" s="3">
        <v>2.09</v>
      </c>
      <c r="T23" s="3">
        <v>1</v>
      </c>
      <c r="U23" s="3">
        <v>-1</v>
      </c>
      <c r="V23" s="3">
        <v>2</v>
      </c>
      <c r="W23" s="3">
        <v>2</v>
      </c>
      <c r="X23" s="3">
        <v>0</v>
      </c>
      <c r="Y23" s="3"/>
      <c r="Z23" s="3"/>
      <c r="AA23" s="3"/>
      <c r="AB23" s="3"/>
      <c r="AI23" s="8">
        <v>2.02</v>
      </c>
      <c r="AJ23" s="2">
        <v>1</v>
      </c>
      <c r="AK23" s="9">
        <v>2.02</v>
      </c>
      <c r="AL23" s="2">
        <v>-1</v>
      </c>
      <c r="BC23" s="8">
        <v>83</v>
      </c>
      <c r="BD23" s="2">
        <v>-0.15999999999999981</v>
      </c>
    </row>
    <row r="24" spans="1:56" x14ac:dyDescent="0.25">
      <c r="A24">
        <f t="shared" si="0"/>
        <v>23</v>
      </c>
      <c r="B24" s="1">
        <v>46046</v>
      </c>
      <c r="D24" s="2" t="s">
        <v>31</v>
      </c>
      <c r="E24">
        <v>23</v>
      </c>
      <c r="F24" s="2" t="s">
        <v>40</v>
      </c>
      <c r="G24" s="2" t="s">
        <v>32</v>
      </c>
      <c r="H24" s="2" t="s">
        <v>99</v>
      </c>
      <c r="I24" s="2" t="s">
        <v>100</v>
      </c>
      <c r="J24" s="3">
        <v>0.67</v>
      </c>
      <c r="K24" s="3">
        <v>0.54</v>
      </c>
      <c r="L24" s="3">
        <v>54.55</v>
      </c>
      <c r="M24" s="3">
        <v>18.18</v>
      </c>
      <c r="N24" s="3">
        <v>27.27</v>
      </c>
      <c r="O24" s="3">
        <v>20</v>
      </c>
      <c r="P24" s="3">
        <v>40</v>
      </c>
      <c r="Q24" s="3">
        <v>40</v>
      </c>
      <c r="R24" s="5">
        <f>IFERROR(IF(_0_00_A_PAINEL_MASTER_V20_APOSTA_ROD[[#This Row],[Met]]="Back_Casa",1,2),0)</f>
        <v>1</v>
      </c>
      <c r="S24" s="3">
        <v>2.7</v>
      </c>
      <c r="T24" s="3">
        <v>1</v>
      </c>
      <c r="U24" s="3">
        <v>-1</v>
      </c>
      <c r="V24" s="3">
        <v>1</v>
      </c>
      <c r="W24" s="3">
        <v>2</v>
      </c>
      <c r="X24" s="3">
        <v>2</v>
      </c>
      <c r="Y24" s="3"/>
      <c r="Z24" s="3"/>
      <c r="AA24" s="3"/>
      <c r="AB24" s="3"/>
      <c r="AI24" s="8">
        <v>1.5</v>
      </c>
      <c r="AJ24" s="2">
        <v>2</v>
      </c>
      <c r="AK24" s="9">
        <v>1.5</v>
      </c>
      <c r="AL24" s="2">
        <v>1</v>
      </c>
      <c r="BC24" s="8">
        <v>84</v>
      </c>
      <c r="BD24" s="2">
        <v>1.3600000000000003</v>
      </c>
    </row>
    <row r="25" spans="1:56" x14ac:dyDescent="0.25">
      <c r="A25">
        <f t="shared" si="0"/>
        <v>24</v>
      </c>
      <c r="B25" s="1">
        <v>46046</v>
      </c>
      <c r="D25" s="2" t="s">
        <v>31</v>
      </c>
      <c r="E25">
        <v>23</v>
      </c>
      <c r="F25" s="2" t="s">
        <v>35</v>
      </c>
      <c r="G25" s="2" t="s">
        <v>73</v>
      </c>
      <c r="H25" s="2" t="s">
        <v>99</v>
      </c>
      <c r="I25" s="2" t="s">
        <v>100</v>
      </c>
      <c r="J25" s="3">
        <v>0.74</v>
      </c>
      <c r="K25" s="3">
        <v>0.65</v>
      </c>
      <c r="L25" s="3">
        <v>45.45</v>
      </c>
      <c r="M25" s="3">
        <v>27.27</v>
      </c>
      <c r="N25" s="3">
        <v>27.27</v>
      </c>
      <c r="O25" s="3">
        <v>18.18</v>
      </c>
      <c r="P25" s="3">
        <v>27.27</v>
      </c>
      <c r="Q25" s="3">
        <v>54.55</v>
      </c>
      <c r="R25" s="5">
        <f>IFERROR(IF(_0_00_A_PAINEL_MASTER_V20_APOSTA_ROD[[#This Row],[Met]]="Back_Casa",1,2),0)</f>
        <v>1</v>
      </c>
      <c r="S25" s="3">
        <v>1.6</v>
      </c>
      <c r="T25" s="3">
        <v>1</v>
      </c>
      <c r="U25" s="3">
        <v>0.6</v>
      </c>
      <c r="V25" s="3">
        <v>3</v>
      </c>
      <c r="W25" s="3">
        <v>0</v>
      </c>
      <c r="X25" s="3">
        <v>1</v>
      </c>
      <c r="Y25" s="3"/>
      <c r="Z25" s="3"/>
      <c r="AA25" s="3"/>
      <c r="AB25" s="3"/>
      <c r="AI25" s="8">
        <v>1.89</v>
      </c>
      <c r="AJ25" s="2">
        <v>1</v>
      </c>
      <c r="AK25" s="9">
        <v>1.89</v>
      </c>
      <c r="AL25" s="2">
        <v>0.89</v>
      </c>
      <c r="BC25" s="8">
        <v>85</v>
      </c>
      <c r="BD25" s="2">
        <v>1.8600000000000003</v>
      </c>
    </row>
    <row r="26" spans="1:56" x14ac:dyDescent="0.25">
      <c r="A26">
        <f t="shared" si="0"/>
        <v>25</v>
      </c>
      <c r="B26" s="1">
        <v>46046</v>
      </c>
      <c r="D26" s="2" t="s">
        <v>63</v>
      </c>
      <c r="E26">
        <v>21</v>
      </c>
      <c r="F26" s="2" t="s">
        <v>118</v>
      </c>
      <c r="G26" s="2" t="s">
        <v>74</v>
      </c>
      <c r="H26" s="2" t="s">
        <v>99</v>
      </c>
      <c r="I26" s="2" t="s">
        <v>100</v>
      </c>
      <c r="J26" s="3">
        <v>0.81</v>
      </c>
      <c r="K26" s="3">
        <v>0.63</v>
      </c>
      <c r="L26" s="3">
        <v>70</v>
      </c>
      <c r="M26" s="3">
        <v>20</v>
      </c>
      <c r="N26" s="3">
        <v>10</v>
      </c>
      <c r="O26" s="3">
        <v>0</v>
      </c>
      <c r="P26" s="3">
        <v>44.44</v>
      </c>
      <c r="Q26" s="3">
        <v>55.56</v>
      </c>
      <c r="R26" s="5">
        <f>IFERROR(IF(_0_00_A_PAINEL_MASTER_V20_APOSTA_ROD[[#This Row],[Met]]="Back_Casa",1,2),0)</f>
        <v>1</v>
      </c>
      <c r="S26" s="3">
        <v>1.4</v>
      </c>
      <c r="T26" s="3">
        <v>1</v>
      </c>
      <c r="U26" s="3">
        <v>0.4</v>
      </c>
      <c r="V26" s="3">
        <v>3</v>
      </c>
      <c r="W26" s="3">
        <v>0</v>
      </c>
      <c r="X26" s="3">
        <v>1</v>
      </c>
      <c r="Y26" s="3"/>
      <c r="Z26" s="3"/>
      <c r="AA26" s="3"/>
      <c r="AB26" s="3"/>
      <c r="AI26" s="8">
        <v>1.91</v>
      </c>
      <c r="AJ26" s="2">
        <v>2</v>
      </c>
      <c r="AK26" s="9">
        <v>1.91</v>
      </c>
      <c r="AL26" s="2">
        <v>-8.9999999999999969E-2</v>
      </c>
      <c r="BC26" s="8">
        <v>86</v>
      </c>
      <c r="BD26" s="2">
        <v>0.86000000000000032</v>
      </c>
    </row>
    <row r="27" spans="1:56" x14ac:dyDescent="0.25">
      <c r="A27">
        <f t="shared" si="0"/>
        <v>26</v>
      </c>
      <c r="B27" s="1">
        <v>46046</v>
      </c>
      <c r="D27" s="2" t="s">
        <v>50</v>
      </c>
      <c r="E27">
        <v>21</v>
      </c>
      <c r="F27" s="2" t="s">
        <v>116</v>
      </c>
      <c r="G27" s="2" t="s">
        <v>117</v>
      </c>
      <c r="H27" s="2" t="s">
        <v>99</v>
      </c>
      <c r="I27" s="2" t="s">
        <v>100</v>
      </c>
      <c r="J27" s="3">
        <v>1.18</v>
      </c>
      <c r="K27" s="3">
        <v>0.7</v>
      </c>
      <c r="L27" s="3">
        <v>66.67</v>
      </c>
      <c r="M27" s="3">
        <v>33.33</v>
      </c>
      <c r="N27" s="3">
        <v>0</v>
      </c>
      <c r="O27" s="3">
        <v>20</v>
      </c>
      <c r="P27" s="3">
        <v>20</v>
      </c>
      <c r="Q27" s="3">
        <v>60</v>
      </c>
      <c r="R27" s="5">
        <f>IFERROR(IF(_0_00_A_PAINEL_MASTER_V20_APOSTA_ROD[[#This Row],[Met]]="Back_Casa",1,2),0)</f>
        <v>1</v>
      </c>
      <c r="S27" s="3">
        <v>1.8</v>
      </c>
      <c r="T27" s="3">
        <v>1</v>
      </c>
      <c r="U27" s="3">
        <v>0.8</v>
      </c>
      <c r="V27" s="3">
        <v>2</v>
      </c>
      <c r="W27" s="3">
        <v>0</v>
      </c>
      <c r="X27" s="3">
        <v>1</v>
      </c>
      <c r="Y27" s="3"/>
      <c r="Z27" s="3"/>
      <c r="AA27" s="3"/>
      <c r="AB27" s="3"/>
      <c r="AI27" s="8">
        <v>1.72</v>
      </c>
      <c r="AJ27" s="2">
        <v>2</v>
      </c>
      <c r="AK27" s="9">
        <v>1.72</v>
      </c>
      <c r="AL27" s="2">
        <v>-0.28000000000000003</v>
      </c>
      <c r="BC27" s="8">
        <v>87</v>
      </c>
      <c r="BD27" s="2">
        <v>1.9000000000000004</v>
      </c>
    </row>
    <row r="28" spans="1:56" x14ac:dyDescent="0.25">
      <c r="A28">
        <f t="shared" si="0"/>
        <v>27</v>
      </c>
      <c r="B28" s="1">
        <v>46046</v>
      </c>
      <c r="D28" s="2" t="s">
        <v>50</v>
      </c>
      <c r="E28">
        <v>21</v>
      </c>
      <c r="F28" s="2" t="s">
        <v>136</v>
      </c>
      <c r="G28" s="2" t="s">
        <v>137</v>
      </c>
      <c r="H28" s="2" t="s">
        <v>99</v>
      </c>
      <c r="I28" s="2" t="s">
        <v>100</v>
      </c>
      <c r="J28" s="3">
        <v>1.18</v>
      </c>
      <c r="K28" s="3">
        <v>0.9</v>
      </c>
      <c r="L28" s="3">
        <v>50</v>
      </c>
      <c r="M28" s="3">
        <v>30</v>
      </c>
      <c r="N28" s="3">
        <v>20</v>
      </c>
      <c r="O28" s="3">
        <v>11.11</v>
      </c>
      <c r="P28" s="3">
        <v>33.33</v>
      </c>
      <c r="Q28" s="3">
        <v>55.56</v>
      </c>
      <c r="R28" s="5">
        <f>IFERROR(IF(_0_00_A_PAINEL_MASTER_V20_APOSTA_ROD[[#This Row],[Met]]="Back_Casa",1,2),0)</f>
        <v>1</v>
      </c>
      <c r="S28" s="3">
        <v>1.44</v>
      </c>
      <c r="T28" s="3">
        <v>1</v>
      </c>
      <c r="U28" s="3">
        <v>0.44</v>
      </c>
      <c r="V28" s="3">
        <v>4</v>
      </c>
      <c r="W28" s="3">
        <v>1</v>
      </c>
      <c r="X28" s="3">
        <v>1</v>
      </c>
      <c r="Y28" s="3"/>
      <c r="Z28" s="3"/>
      <c r="AA28" s="3"/>
      <c r="AB28" s="3"/>
      <c r="AI28" s="8">
        <v>1.66</v>
      </c>
      <c r="AJ28" s="2">
        <v>1</v>
      </c>
      <c r="AK28" s="9">
        <v>1.66</v>
      </c>
      <c r="AL28" s="2">
        <v>0.66</v>
      </c>
      <c r="BC28" s="8">
        <v>88</v>
      </c>
      <c r="BD28" s="2">
        <v>2.7600000000000002</v>
      </c>
    </row>
    <row r="29" spans="1:56" x14ac:dyDescent="0.25">
      <c r="A29">
        <f t="shared" si="0"/>
        <v>28</v>
      </c>
      <c r="B29" s="1">
        <v>46046</v>
      </c>
      <c r="D29" s="2" t="s">
        <v>21</v>
      </c>
      <c r="E29">
        <v>29</v>
      </c>
      <c r="F29" s="2" t="s">
        <v>67</v>
      </c>
      <c r="G29" s="2" t="s">
        <v>134</v>
      </c>
      <c r="H29" s="2" t="s">
        <v>99</v>
      </c>
      <c r="I29" s="2" t="s">
        <v>100</v>
      </c>
      <c r="J29" s="3">
        <v>0.65</v>
      </c>
      <c r="K29" s="3">
        <v>0.43</v>
      </c>
      <c r="L29" s="3">
        <v>57.14</v>
      </c>
      <c r="M29" s="3">
        <v>14.29</v>
      </c>
      <c r="N29" s="3">
        <v>28.57</v>
      </c>
      <c r="O29" s="3">
        <v>14.29</v>
      </c>
      <c r="P29" s="3">
        <v>35.71</v>
      </c>
      <c r="Q29" s="3">
        <v>50</v>
      </c>
      <c r="R29" s="5">
        <f>IFERROR(IF(_0_00_A_PAINEL_MASTER_V20_APOSTA_ROD[[#This Row],[Met]]="Back_Casa",1,2),0)</f>
        <v>1</v>
      </c>
      <c r="S29" s="3">
        <v>1.8</v>
      </c>
      <c r="T29" s="3">
        <v>1</v>
      </c>
      <c r="U29" s="3">
        <v>0.8</v>
      </c>
      <c r="V29" s="3">
        <v>4</v>
      </c>
      <c r="W29" s="3">
        <v>0</v>
      </c>
      <c r="X29" s="3">
        <v>1</v>
      </c>
      <c r="Y29" s="3"/>
      <c r="Z29" s="3"/>
      <c r="AA29" s="3"/>
      <c r="AB29" s="3"/>
      <c r="AI29" s="8">
        <v>2.5</v>
      </c>
      <c r="AJ29" s="2">
        <v>1</v>
      </c>
      <c r="AK29" s="9">
        <v>2.5</v>
      </c>
      <c r="AL29" s="2">
        <v>-1</v>
      </c>
      <c r="BC29" s="8">
        <v>89</v>
      </c>
      <c r="BD29" s="2">
        <v>1.7600000000000002</v>
      </c>
    </row>
    <row r="30" spans="1:56" x14ac:dyDescent="0.25">
      <c r="A30">
        <f t="shared" si="0"/>
        <v>29</v>
      </c>
      <c r="B30" s="1">
        <v>46046</v>
      </c>
      <c r="D30" s="2" t="s">
        <v>63</v>
      </c>
      <c r="E30">
        <v>21</v>
      </c>
      <c r="F30" s="2" t="s">
        <v>113</v>
      </c>
      <c r="G30" s="2" t="s">
        <v>104</v>
      </c>
      <c r="H30" s="2" t="s">
        <v>99</v>
      </c>
      <c r="I30" s="2" t="s">
        <v>100</v>
      </c>
      <c r="J30" s="3">
        <v>1.21</v>
      </c>
      <c r="K30" s="3">
        <v>0.56999999999999995</v>
      </c>
      <c r="L30" s="3">
        <v>66.67</v>
      </c>
      <c r="M30" s="3">
        <v>22.22</v>
      </c>
      <c r="N30" s="3">
        <v>11.11</v>
      </c>
      <c r="O30" s="3">
        <v>20</v>
      </c>
      <c r="P30" s="3">
        <v>20</v>
      </c>
      <c r="Q30" s="3">
        <v>60</v>
      </c>
      <c r="R30" s="5">
        <f>IFERROR(IF(_0_00_A_PAINEL_MASTER_V20_APOSTA_ROD[[#This Row],[Met]]="Back_Casa",1,2),0)</f>
        <v>1</v>
      </c>
      <c r="S30" s="3">
        <v>1.58</v>
      </c>
      <c r="T30" s="3">
        <v>1</v>
      </c>
      <c r="U30" s="3">
        <v>0.57999999999999996</v>
      </c>
      <c r="V30" s="3">
        <v>1</v>
      </c>
      <c r="W30" s="3">
        <v>0</v>
      </c>
      <c r="X30" s="3">
        <v>1</v>
      </c>
      <c r="Y30" s="3"/>
      <c r="Z30" s="3"/>
      <c r="AA30" s="3"/>
      <c r="AB30" s="3"/>
      <c r="AI30" s="8">
        <v>2.17</v>
      </c>
      <c r="AJ30" s="2">
        <v>2</v>
      </c>
      <c r="AK30" s="9">
        <v>2.17</v>
      </c>
      <c r="AL30" s="2">
        <v>2.34</v>
      </c>
      <c r="BC30" s="8">
        <v>90</v>
      </c>
      <c r="BD30" s="2">
        <v>0.76000000000000023</v>
      </c>
    </row>
    <row r="31" spans="1:56" x14ac:dyDescent="0.25">
      <c r="A31">
        <f t="shared" si="0"/>
        <v>30</v>
      </c>
      <c r="B31" s="1">
        <v>46046</v>
      </c>
      <c r="D31" s="2" t="s">
        <v>53</v>
      </c>
      <c r="E31">
        <v>19</v>
      </c>
      <c r="F31" s="2" t="s">
        <v>114</v>
      </c>
      <c r="G31" s="2" t="s">
        <v>115</v>
      </c>
      <c r="H31" s="2" t="s">
        <v>99</v>
      </c>
      <c r="I31" s="2" t="s">
        <v>100</v>
      </c>
      <c r="J31" s="3">
        <v>0.98</v>
      </c>
      <c r="K31" s="3">
        <v>0.56000000000000005</v>
      </c>
      <c r="L31" s="3">
        <v>50</v>
      </c>
      <c r="M31" s="3">
        <v>12.5</v>
      </c>
      <c r="N31" s="3">
        <v>37.5</v>
      </c>
      <c r="O31" s="3">
        <v>37.5</v>
      </c>
      <c r="P31" s="3">
        <v>0</v>
      </c>
      <c r="Q31" s="3">
        <v>62.5</v>
      </c>
      <c r="R31" s="5">
        <f>IFERROR(IF(_0_00_A_PAINEL_MASTER_V20_APOSTA_ROD[[#This Row],[Met]]="Back_Casa",1,2),0)</f>
        <v>1</v>
      </c>
      <c r="S31" s="3">
        <v>1.71</v>
      </c>
      <c r="T31" s="3">
        <v>1</v>
      </c>
      <c r="U31" s="3">
        <v>0.71</v>
      </c>
      <c r="V31" s="3">
        <v>2</v>
      </c>
      <c r="W31" s="3">
        <v>1</v>
      </c>
      <c r="X31" s="3">
        <v>1</v>
      </c>
      <c r="Y31" s="3"/>
      <c r="Z31" s="3"/>
      <c r="AA31" s="3"/>
      <c r="AB31" s="3"/>
      <c r="AI31" s="8">
        <v>1.63</v>
      </c>
      <c r="AJ31" s="2">
        <v>1</v>
      </c>
      <c r="AK31" s="9">
        <v>1.63</v>
      </c>
      <c r="AL31" s="2">
        <v>0.63</v>
      </c>
      <c r="BC31" s="8">
        <v>91</v>
      </c>
      <c r="BD31" s="2">
        <v>1.7500000000000002</v>
      </c>
    </row>
    <row r="32" spans="1:56" x14ac:dyDescent="0.25">
      <c r="A32">
        <f t="shared" si="0"/>
        <v>31</v>
      </c>
      <c r="B32" s="1">
        <v>46046</v>
      </c>
      <c r="D32" s="2" t="s">
        <v>42</v>
      </c>
      <c r="E32">
        <v>19</v>
      </c>
      <c r="F32" s="2" t="s">
        <v>127</v>
      </c>
      <c r="G32" s="2" t="s">
        <v>128</v>
      </c>
      <c r="H32" s="2" t="s">
        <v>99</v>
      </c>
      <c r="I32" s="2" t="s">
        <v>100</v>
      </c>
      <c r="J32" s="3">
        <v>1.31</v>
      </c>
      <c r="K32" s="3">
        <v>0.73</v>
      </c>
      <c r="L32" s="3">
        <v>55.56</v>
      </c>
      <c r="M32" s="3">
        <v>11.11</v>
      </c>
      <c r="N32" s="3">
        <v>33.33</v>
      </c>
      <c r="O32" s="3">
        <v>11.11</v>
      </c>
      <c r="P32" s="3">
        <v>33.33</v>
      </c>
      <c r="Q32" s="3">
        <v>55.56</v>
      </c>
      <c r="R32" s="5">
        <f>IFERROR(IF(_0_00_A_PAINEL_MASTER_V20_APOSTA_ROD[[#This Row],[Met]]="Back_Casa",1,2),0)</f>
        <v>1</v>
      </c>
      <c r="S32" s="3">
        <v>1.57</v>
      </c>
      <c r="T32" s="3">
        <v>1</v>
      </c>
      <c r="U32" s="3">
        <v>0.56999999999999995</v>
      </c>
      <c r="V32" s="3">
        <v>1</v>
      </c>
      <c r="W32" s="3">
        <v>0</v>
      </c>
      <c r="X32" s="3">
        <v>1</v>
      </c>
      <c r="Y32" s="3"/>
      <c r="Z32" s="3"/>
      <c r="AA32" s="3"/>
      <c r="AB32" s="3"/>
      <c r="AI32" s="8">
        <v>2.33</v>
      </c>
      <c r="AJ32" s="2">
        <v>1</v>
      </c>
      <c r="AK32" s="9">
        <v>2.33</v>
      </c>
      <c r="AL32" s="2">
        <v>-1</v>
      </c>
      <c r="BC32" s="8">
        <v>92</v>
      </c>
      <c r="BD32" s="2">
        <v>2.4900000000000002</v>
      </c>
    </row>
    <row r="33" spans="1:56" x14ac:dyDescent="0.25">
      <c r="A33">
        <f t="shared" si="0"/>
        <v>32</v>
      </c>
      <c r="B33" s="1">
        <v>46046</v>
      </c>
      <c r="D33" s="2" t="s">
        <v>21</v>
      </c>
      <c r="E33">
        <v>29</v>
      </c>
      <c r="F33" s="2" t="s">
        <v>71</v>
      </c>
      <c r="G33" s="2" t="s">
        <v>101</v>
      </c>
      <c r="H33" s="2" t="s">
        <v>99</v>
      </c>
      <c r="I33" s="2" t="s">
        <v>100</v>
      </c>
      <c r="J33" s="3">
        <v>0.79</v>
      </c>
      <c r="K33" s="3">
        <v>0.44</v>
      </c>
      <c r="L33" s="3">
        <v>46.15</v>
      </c>
      <c r="M33" s="3">
        <v>30.77</v>
      </c>
      <c r="N33" s="3">
        <v>23.08</v>
      </c>
      <c r="O33" s="3">
        <v>14.29</v>
      </c>
      <c r="P33" s="3">
        <v>28.57</v>
      </c>
      <c r="Q33" s="3">
        <v>57.14</v>
      </c>
      <c r="R33" s="5">
        <f>IFERROR(IF(_0_00_A_PAINEL_MASTER_V20_APOSTA_ROD[[#This Row],[Met]]="Back_Casa",1,2),0)</f>
        <v>1</v>
      </c>
      <c r="S33" s="3">
        <v>1.94</v>
      </c>
      <c r="T33" s="3">
        <v>1</v>
      </c>
      <c r="U33" s="3">
        <v>-1</v>
      </c>
      <c r="V33" s="3">
        <v>1</v>
      </c>
      <c r="W33" s="3">
        <v>2</v>
      </c>
      <c r="X33" s="3">
        <v>2</v>
      </c>
      <c r="Y33" s="3"/>
      <c r="Z33" s="3"/>
      <c r="AA33" s="3"/>
      <c r="AB33" s="3"/>
      <c r="AI33" s="8">
        <v>2.15</v>
      </c>
      <c r="AJ33" s="2">
        <v>1</v>
      </c>
      <c r="AK33" s="9">
        <v>2.15</v>
      </c>
      <c r="AL33" s="2">
        <v>-1</v>
      </c>
      <c r="BC33" s="8">
        <v>93</v>
      </c>
      <c r="BD33" s="2">
        <v>2.93</v>
      </c>
    </row>
    <row r="34" spans="1:56" x14ac:dyDescent="0.25">
      <c r="A34">
        <f t="shared" si="0"/>
        <v>33</v>
      </c>
      <c r="B34" s="1">
        <v>46046</v>
      </c>
      <c r="D34" s="2" t="s">
        <v>36</v>
      </c>
      <c r="E34">
        <v>19</v>
      </c>
      <c r="F34" s="2" t="s">
        <v>82</v>
      </c>
      <c r="G34" s="2" t="s">
        <v>79</v>
      </c>
      <c r="H34" s="2" t="s">
        <v>99</v>
      </c>
      <c r="I34" s="2" t="s">
        <v>100</v>
      </c>
      <c r="J34" s="3">
        <v>1.35</v>
      </c>
      <c r="K34" s="3">
        <v>0.33</v>
      </c>
      <c r="L34" s="3">
        <v>55.56</v>
      </c>
      <c r="M34" s="3">
        <v>33.33</v>
      </c>
      <c r="N34" s="3">
        <v>11.11</v>
      </c>
      <c r="O34" s="3">
        <v>11.11</v>
      </c>
      <c r="P34" s="3">
        <v>33.33</v>
      </c>
      <c r="Q34" s="3">
        <v>55.56</v>
      </c>
      <c r="R34" s="5">
        <f>IFERROR(IF(_0_00_A_PAINEL_MASTER_V20_APOSTA_ROD[[#This Row],[Met]]="Back_Casa",1,2),0)</f>
        <v>1</v>
      </c>
      <c r="S34" s="3">
        <v>1.79</v>
      </c>
      <c r="T34" s="3">
        <v>1</v>
      </c>
      <c r="U34" s="3">
        <v>-1</v>
      </c>
      <c r="V34" s="3">
        <v>0</v>
      </c>
      <c r="W34" s="3">
        <v>2</v>
      </c>
      <c r="X34" s="3">
        <v>2</v>
      </c>
      <c r="Y34" s="3"/>
      <c r="Z34" s="3"/>
      <c r="AA34" s="3"/>
      <c r="AB34" s="3"/>
      <c r="AI34" s="8">
        <v>1.86</v>
      </c>
      <c r="AJ34" s="2">
        <v>3</v>
      </c>
      <c r="AK34" s="9">
        <v>1.86</v>
      </c>
      <c r="AL34" s="2">
        <v>0.72</v>
      </c>
      <c r="BC34" s="8">
        <v>94</v>
      </c>
      <c r="BD34" s="2">
        <v>3.4800000000000004</v>
      </c>
    </row>
    <row r="35" spans="1:56" x14ac:dyDescent="0.25">
      <c r="A35">
        <f t="shared" si="0"/>
        <v>34</v>
      </c>
      <c r="B35" s="1">
        <v>46046</v>
      </c>
      <c r="D35" s="2" t="s">
        <v>27</v>
      </c>
      <c r="E35">
        <v>28</v>
      </c>
      <c r="F35" s="2" t="s">
        <v>126</v>
      </c>
      <c r="G35" s="2" t="s">
        <v>28</v>
      </c>
      <c r="H35" s="2" t="s">
        <v>99</v>
      </c>
      <c r="I35" s="2" t="s">
        <v>100</v>
      </c>
      <c r="J35" s="3">
        <v>0.9</v>
      </c>
      <c r="K35" s="3">
        <v>0.72</v>
      </c>
      <c r="L35" s="3">
        <v>61.54</v>
      </c>
      <c r="M35" s="3">
        <v>30.77</v>
      </c>
      <c r="N35" s="3">
        <v>7.69</v>
      </c>
      <c r="O35" s="3">
        <v>23.08</v>
      </c>
      <c r="P35" s="3">
        <v>7.69</v>
      </c>
      <c r="Q35" s="3">
        <v>69.23</v>
      </c>
      <c r="R35" s="5">
        <f>IFERROR(IF(_0_00_A_PAINEL_MASTER_V20_APOSTA_ROD[[#This Row],[Met]]="Back_Casa",1,2),0)</f>
        <v>1</v>
      </c>
      <c r="S35" s="3">
        <v>1.52</v>
      </c>
      <c r="T35" s="3">
        <v>1</v>
      </c>
      <c r="U35" s="3">
        <v>0.52</v>
      </c>
      <c r="V35" s="3">
        <v>2</v>
      </c>
      <c r="W35" s="3">
        <v>1</v>
      </c>
      <c r="X35" s="3">
        <v>1</v>
      </c>
      <c r="Y35" s="3"/>
      <c r="Z35" s="3"/>
      <c r="AA35" s="3"/>
      <c r="AB35" s="3"/>
      <c r="AI35" s="8">
        <v>1.47</v>
      </c>
      <c r="AJ35" s="2">
        <v>1</v>
      </c>
      <c r="AK35" s="9">
        <v>1.47</v>
      </c>
      <c r="AL35" s="2">
        <v>0.47</v>
      </c>
      <c r="BC35" s="8">
        <v>95</v>
      </c>
      <c r="BD35" s="2">
        <v>3.99</v>
      </c>
    </row>
    <row r="36" spans="1:56" x14ac:dyDescent="0.25">
      <c r="A36">
        <f t="shared" si="0"/>
        <v>35</v>
      </c>
      <c r="B36" s="1">
        <v>46046</v>
      </c>
      <c r="D36" s="2" t="s">
        <v>27</v>
      </c>
      <c r="E36">
        <v>28</v>
      </c>
      <c r="F36" s="2" t="s">
        <v>70</v>
      </c>
      <c r="G36" s="2" t="s">
        <v>69</v>
      </c>
      <c r="H36" s="2" t="s">
        <v>99</v>
      </c>
      <c r="I36" s="2" t="s">
        <v>100</v>
      </c>
      <c r="J36" s="3">
        <v>1.03</v>
      </c>
      <c r="K36" s="3">
        <v>0.63</v>
      </c>
      <c r="L36" s="3">
        <v>53.85</v>
      </c>
      <c r="M36" s="3">
        <v>23.08</v>
      </c>
      <c r="N36" s="3">
        <v>23.08</v>
      </c>
      <c r="O36" s="3">
        <v>38.46</v>
      </c>
      <c r="P36" s="3">
        <v>7.69</v>
      </c>
      <c r="Q36" s="3">
        <v>53.85</v>
      </c>
      <c r="R36" s="5">
        <f>IFERROR(IF(_0_00_A_PAINEL_MASTER_V20_APOSTA_ROD[[#This Row],[Met]]="Back_Casa",1,2),0)</f>
        <v>1</v>
      </c>
      <c r="S36" s="3">
        <v>2.0699999999999998</v>
      </c>
      <c r="T36" s="3">
        <v>1</v>
      </c>
      <c r="U36" s="3">
        <v>-1</v>
      </c>
      <c r="V36" s="3">
        <v>0</v>
      </c>
      <c r="W36" s="3">
        <v>2</v>
      </c>
      <c r="X36" s="3">
        <v>2</v>
      </c>
      <c r="Y36" s="3"/>
      <c r="Z36" s="3"/>
      <c r="AA36" s="3"/>
      <c r="AB36" s="3"/>
      <c r="AI36" s="8">
        <v>2.2000000000000002</v>
      </c>
      <c r="AJ36" s="2">
        <v>1</v>
      </c>
      <c r="AK36" s="9">
        <v>2.2000000000000002</v>
      </c>
      <c r="AL36" s="2">
        <v>-1</v>
      </c>
      <c r="BC36" s="8">
        <v>96</v>
      </c>
      <c r="BD36" s="2">
        <v>2.99</v>
      </c>
    </row>
    <row r="37" spans="1:56" x14ac:dyDescent="0.25">
      <c r="A37">
        <f t="shared" si="0"/>
        <v>36</v>
      </c>
      <c r="B37" s="1">
        <v>46047</v>
      </c>
      <c r="D37" s="2" t="s">
        <v>62</v>
      </c>
      <c r="E37">
        <v>22</v>
      </c>
      <c r="F37" s="2" t="s">
        <v>139</v>
      </c>
      <c r="G37" s="2" t="s">
        <v>88</v>
      </c>
      <c r="H37" s="2" t="s">
        <v>102</v>
      </c>
      <c r="I37" s="2" t="s">
        <v>103</v>
      </c>
      <c r="J37" s="3">
        <v>0.38</v>
      </c>
      <c r="K37" s="3">
        <v>0.85</v>
      </c>
      <c r="L37" s="3">
        <v>18.18</v>
      </c>
      <c r="M37" s="3">
        <v>36.36</v>
      </c>
      <c r="N37" s="3">
        <v>45.45</v>
      </c>
      <c r="O37" s="3">
        <v>36.36</v>
      </c>
      <c r="P37" s="3">
        <v>36.36</v>
      </c>
      <c r="Q37" s="3">
        <v>27.27</v>
      </c>
      <c r="R37" s="5">
        <f>IFERROR(IF(_0_00_A_PAINEL_MASTER_V20_APOSTA_ROD[[#This Row],[Met]]="Back_Casa",1,2),0)</f>
        <v>2</v>
      </c>
      <c r="S37" s="3">
        <v>2.62</v>
      </c>
      <c r="T37" s="3">
        <v>1</v>
      </c>
      <c r="U37" s="3">
        <v>-1</v>
      </c>
      <c r="V37" s="3">
        <v>3</v>
      </c>
      <c r="W37" s="3">
        <v>2</v>
      </c>
      <c r="X37" s="3">
        <v>1</v>
      </c>
      <c r="Y37" s="3"/>
      <c r="Z37" s="3"/>
      <c r="AA37" s="3"/>
      <c r="AB37" s="3"/>
      <c r="AI37" s="8">
        <v>1.53</v>
      </c>
      <c r="AJ37" s="2">
        <v>1</v>
      </c>
      <c r="AK37" s="9">
        <v>1.53</v>
      </c>
      <c r="AL37" s="2">
        <v>0.53</v>
      </c>
      <c r="BC37" s="8">
        <v>97</v>
      </c>
      <c r="BD37" s="2">
        <v>3.87</v>
      </c>
    </row>
    <row r="38" spans="1:56" x14ac:dyDescent="0.25">
      <c r="A38">
        <f t="shared" si="0"/>
        <v>37</v>
      </c>
      <c r="B38" s="1">
        <v>46047</v>
      </c>
      <c r="D38" s="2" t="s">
        <v>53</v>
      </c>
      <c r="E38">
        <v>19</v>
      </c>
      <c r="F38" s="2" t="s">
        <v>54</v>
      </c>
      <c r="G38" s="2" t="s">
        <v>123</v>
      </c>
      <c r="H38" s="2" t="s">
        <v>99</v>
      </c>
      <c r="I38" s="2" t="s">
        <v>100</v>
      </c>
      <c r="J38" s="3">
        <v>1.06</v>
      </c>
      <c r="K38" s="3">
        <v>0.62</v>
      </c>
      <c r="L38" s="3">
        <v>55.56</v>
      </c>
      <c r="M38" s="3">
        <v>11.11</v>
      </c>
      <c r="N38" s="3">
        <v>33.33</v>
      </c>
      <c r="O38" s="3">
        <v>25</v>
      </c>
      <c r="P38" s="3">
        <v>0</v>
      </c>
      <c r="Q38" s="3">
        <v>75</v>
      </c>
      <c r="R38" s="5">
        <f>IFERROR(IF(_0_00_A_PAINEL_MASTER_V20_APOSTA_ROD[[#This Row],[Met]]="Back_Casa",1,2),0)</f>
        <v>1</v>
      </c>
      <c r="S38" s="3">
        <v>1.74</v>
      </c>
      <c r="T38" s="3">
        <v>1</v>
      </c>
      <c r="U38" s="3">
        <v>0.74</v>
      </c>
      <c r="V38" s="3">
        <v>2</v>
      </c>
      <c r="W38" s="3">
        <v>1</v>
      </c>
      <c r="X38" s="3">
        <v>1</v>
      </c>
      <c r="Y38" s="3"/>
      <c r="Z38" s="3"/>
      <c r="AA38" s="3"/>
      <c r="AB38" s="3"/>
      <c r="AI38" s="8">
        <v>1.81</v>
      </c>
      <c r="AJ38" s="2">
        <v>1</v>
      </c>
      <c r="AK38" s="9">
        <v>1.81</v>
      </c>
      <c r="AL38" s="2">
        <v>-1</v>
      </c>
      <c r="BC38" s="8">
        <v>98</v>
      </c>
      <c r="BD38" s="2">
        <v>2.87</v>
      </c>
    </row>
    <row r="39" spans="1:56" x14ac:dyDescent="0.25">
      <c r="A39">
        <f t="shared" si="0"/>
        <v>38</v>
      </c>
      <c r="B39" s="1">
        <v>46047</v>
      </c>
      <c r="D39" s="2" t="s">
        <v>53</v>
      </c>
      <c r="E39">
        <v>19</v>
      </c>
      <c r="F39" s="2" t="s">
        <v>121</v>
      </c>
      <c r="G39" s="2" t="s">
        <v>122</v>
      </c>
      <c r="H39" s="2" t="s">
        <v>99</v>
      </c>
      <c r="I39" s="2" t="s">
        <v>100</v>
      </c>
      <c r="J39" s="3">
        <v>0.78</v>
      </c>
      <c r="K39" s="3">
        <v>0.66</v>
      </c>
      <c r="L39" s="3">
        <v>87.5</v>
      </c>
      <c r="M39" s="3">
        <v>0</v>
      </c>
      <c r="N39" s="3">
        <v>12.5</v>
      </c>
      <c r="O39" s="3">
        <v>25</v>
      </c>
      <c r="P39" s="3">
        <v>25</v>
      </c>
      <c r="Q39" s="3">
        <v>50</v>
      </c>
      <c r="R39" s="5">
        <f>IFERROR(IF(_0_00_A_PAINEL_MASTER_V20_APOSTA_ROD[[#This Row],[Met]]="Back_Casa",1,2),0)</f>
        <v>1</v>
      </c>
      <c r="S39" s="3">
        <v>2.02</v>
      </c>
      <c r="T39" s="3">
        <v>1</v>
      </c>
      <c r="U39" s="3">
        <v>-1</v>
      </c>
      <c r="V39" s="3">
        <v>2</v>
      </c>
      <c r="W39" s="3">
        <v>2</v>
      </c>
      <c r="X39" s="3">
        <v>0</v>
      </c>
      <c r="Y39" s="3"/>
      <c r="Z39" s="3"/>
      <c r="AA39" s="3"/>
      <c r="AB39" s="3"/>
      <c r="AI39" s="8">
        <v>1.69</v>
      </c>
      <c r="AJ39" s="2">
        <v>2</v>
      </c>
      <c r="AK39" s="9">
        <v>1.69</v>
      </c>
      <c r="AL39" s="2">
        <v>-0.31000000000000005</v>
      </c>
      <c r="BC39" s="8">
        <v>99</v>
      </c>
      <c r="BD39" s="2">
        <v>1.87</v>
      </c>
    </row>
    <row r="40" spans="1:56" x14ac:dyDescent="0.25">
      <c r="A40">
        <f t="shared" si="0"/>
        <v>39</v>
      </c>
      <c r="B40" s="1">
        <v>46047</v>
      </c>
      <c r="D40" s="2" t="s">
        <v>61</v>
      </c>
      <c r="E40">
        <v>22</v>
      </c>
      <c r="F40" s="2" t="s">
        <v>119</v>
      </c>
      <c r="G40" s="2" t="s">
        <v>120</v>
      </c>
      <c r="H40" s="2" t="s">
        <v>99</v>
      </c>
      <c r="I40" s="2" t="s">
        <v>100</v>
      </c>
      <c r="J40" s="3">
        <v>1</v>
      </c>
      <c r="K40" s="3">
        <v>0.56000000000000005</v>
      </c>
      <c r="L40" s="3">
        <v>63.64</v>
      </c>
      <c r="M40" s="3">
        <v>18.18</v>
      </c>
      <c r="N40" s="3">
        <v>18.18</v>
      </c>
      <c r="O40" s="3">
        <v>20</v>
      </c>
      <c r="P40" s="3">
        <v>30</v>
      </c>
      <c r="Q40" s="3">
        <v>50</v>
      </c>
      <c r="R40" s="5">
        <f>IFERROR(IF(_0_00_A_PAINEL_MASTER_V20_APOSTA_ROD[[#This Row],[Met]]="Back_Casa",1,2),0)</f>
        <v>1</v>
      </c>
      <c r="S40" s="3">
        <v>1.5</v>
      </c>
      <c r="T40" s="3">
        <v>1</v>
      </c>
      <c r="U40" s="3">
        <v>-1</v>
      </c>
      <c r="V40" s="3">
        <v>0</v>
      </c>
      <c r="W40" s="3">
        <v>0</v>
      </c>
      <c r="X40" s="3">
        <v>0</v>
      </c>
      <c r="Y40" s="3"/>
      <c r="Z40" s="3"/>
      <c r="AA40" s="3"/>
      <c r="AB40" s="3"/>
      <c r="AI40" s="8">
        <v>1.61</v>
      </c>
      <c r="AJ40" s="2">
        <v>1</v>
      </c>
      <c r="AK40" s="9">
        <v>1.61</v>
      </c>
      <c r="AL40" s="2">
        <v>-1</v>
      </c>
      <c r="BC40" s="8">
        <v>100</v>
      </c>
      <c r="BD40" s="2">
        <v>2.7800000000000002</v>
      </c>
    </row>
    <row r="41" spans="1:56" x14ac:dyDescent="0.25">
      <c r="A41">
        <f t="shared" si="0"/>
        <v>40</v>
      </c>
      <c r="B41" s="1">
        <v>46047</v>
      </c>
      <c r="D41" s="2" t="s">
        <v>36</v>
      </c>
      <c r="E41">
        <v>19</v>
      </c>
      <c r="F41" s="2" t="s">
        <v>132</v>
      </c>
      <c r="G41" s="2" t="s">
        <v>105</v>
      </c>
      <c r="H41" s="2" t="s">
        <v>99</v>
      </c>
      <c r="I41" s="2" t="s">
        <v>100</v>
      </c>
      <c r="J41" s="3">
        <v>0.99</v>
      </c>
      <c r="K41" s="3">
        <v>0.81</v>
      </c>
      <c r="L41" s="3">
        <v>66.67</v>
      </c>
      <c r="M41" s="3">
        <v>11.11</v>
      </c>
      <c r="N41" s="3">
        <v>22.22</v>
      </c>
      <c r="O41" s="3">
        <v>22.22</v>
      </c>
      <c r="P41" s="3">
        <v>22.22</v>
      </c>
      <c r="Q41" s="3">
        <v>55.56</v>
      </c>
      <c r="R41" s="5">
        <f>IFERROR(IF(_0_00_A_PAINEL_MASTER_V20_APOSTA_ROD[[#This Row],[Met]]="Back_Casa",1,2),0)</f>
        <v>1</v>
      </c>
      <c r="S41" s="3">
        <v>2.1</v>
      </c>
      <c r="T41" s="3">
        <v>1</v>
      </c>
      <c r="U41" s="3">
        <v>-1</v>
      </c>
      <c r="V41" s="3">
        <v>1</v>
      </c>
      <c r="W41" s="3">
        <v>4</v>
      </c>
      <c r="X41" s="3">
        <v>2</v>
      </c>
      <c r="Y41" s="3"/>
      <c r="Z41" s="3"/>
      <c r="AA41" s="3"/>
      <c r="AB41" s="3"/>
      <c r="AI41" s="8">
        <v>1.82</v>
      </c>
      <c r="AJ41" s="2">
        <v>1</v>
      </c>
      <c r="AK41" s="9">
        <v>1.82</v>
      </c>
      <c r="AL41" s="2">
        <v>0.62</v>
      </c>
      <c r="BC41" s="8">
        <v>101</v>
      </c>
      <c r="BD41" s="2">
        <v>3.2600000000000002</v>
      </c>
    </row>
    <row r="42" spans="1:56" x14ac:dyDescent="0.25">
      <c r="A42">
        <f t="shared" si="0"/>
        <v>41</v>
      </c>
      <c r="B42" s="1">
        <v>46048</v>
      </c>
      <c r="D42" s="2" t="s">
        <v>31</v>
      </c>
      <c r="E42">
        <v>23</v>
      </c>
      <c r="F42" s="2" t="s">
        <v>34</v>
      </c>
      <c r="G42" s="2" t="s">
        <v>133</v>
      </c>
      <c r="H42" s="2" t="s">
        <v>99</v>
      </c>
      <c r="I42" s="2" t="s">
        <v>100</v>
      </c>
      <c r="J42" s="3">
        <v>0.66</v>
      </c>
      <c r="K42" s="3">
        <v>0.74</v>
      </c>
      <c r="L42" s="3">
        <v>63.64</v>
      </c>
      <c r="M42" s="3">
        <v>9.09</v>
      </c>
      <c r="N42" s="3">
        <v>27.27</v>
      </c>
      <c r="O42" s="3">
        <v>45.45</v>
      </c>
      <c r="P42" s="3">
        <v>9.09</v>
      </c>
      <c r="Q42" s="3">
        <v>45.45</v>
      </c>
      <c r="R42" s="5">
        <f>IFERROR(IF(_0_00_A_PAINEL_MASTER_V20_APOSTA_ROD[[#This Row],[Met]]="Back_Casa",1,2),0)</f>
        <v>1</v>
      </c>
      <c r="S42" s="3">
        <v>2.1</v>
      </c>
      <c r="T42" s="3">
        <v>1</v>
      </c>
      <c r="U42" s="3">
        <v>1.1000000000000001</v>
      </c>
      <c r="V42" s="3">
        <v>2</v>
      </c>
      <c r="W42" s="3">
        <v>1</v>
      </c>
      <c r="X42" s="3">
        <v>1</v>
      </c>
      <c r="Y42" s="3"/>
      <c r="Z42" s="3"/>
      <c r="AA42" s="3"/>
      <c r="AB42" s="3"/>
      <c r="AI42" s="8">
        <v>2.52</v>
      </c>
      <c r="AJ42" s="2">
        <v>1</v>
      </c>
      <c r="AK42" s="9">
        <v>2.52</v>
      </c>
      <c r="AL42" s="2">
        <v>1.52</v>
      </c>
      <c r="BC42" s="8">
        <v>102</v>
      </c>
      <c r="BD42" s="2">
        <v>2.2600000000000002</v>
      </c>
    </row>
    <row r="43" spans="1:56" x14ac:dyDescent="0.25">
      <c r="A43">
        <f t="shared" si="0"/>
        <v>42</v>
      </c>
      <c r="B43" s="1">
        <v>46048</v>
      </c>
      <c r="D43" s="2" t="s">
        <v>21</v>
      </c>
      <c r="E43">
        <v>29</v>
      </c>
      <c r="F43" s="2" t="s">
        <v>25</v>
      </c>
      <c r="G43" s="2" t="s">
        <v>135</v>
      </c>
      <c r="H43" s="2" t="s">
        <v>102</v>
      </c>
      <c r="I43" s="2" t="s">
        <v>103</v>
      </c>
      <c r="J43" s="3">
        <v>0.55000000000000004</v>
      </c>
      <c r="K43" s="3">
        <v>1.21</v>
      </c>
      <c r="L43" s="3">
        <v>23.08</v>
      </c>
      <c r="M43" s="3">
        <v>7.69</v>
      </c>
      <c r="N43" s="3">
        <v>69.23</v>
      </c>
      <c r="O43" s="3">
        <v>42.86</v>
      </c>
      <c r="P43" s="3">
        <v>35.71</v>
      </c>
      <c r="Q43" s="3">
        <v>21.43</v>
      </c>
      <c r="R43" s="5">
        <f>IFERROR(IF(_0_00_A_PAINEL_MASTER_V20_APOSTA_ROD[[#This Row],[Met]]="Back_Casa",1,2),0)</f>
        <v>2</v>
      </c>
      <c r="S43" s="3">
        <v>2.2400000000000002</v>
      </c>
      <c r="T43" s="3">
        <v>1</v>
      </c>
      <c r="U43" s="3">
        <v>-1</v>
      </c>
      <c r="V43" s="3">
        <v>2</v>
      </c>
      <c r="W43" s="3">
        <v>1</v>
      </c>
      <c r="X43" s="3">
        <v>1</v>
      </c>
      <c r="Y43" s="3"/>
      <c r="Z43" s="3"/>
      <c r="AA43" s="3"/>
      <c r="AB43" s="3"/>
      <c r="AI43" s="8">
        <v>1.54</v>
      </c>
      <c r="AJ43" s="2">
        <v>1</v>
      </c>
      <c r="AK43" s="9">
        <v>1.54</v>
      </c>
      <c r="AL43" s="2">
        <v>-1</v>
      </c>
      <c r="BC43" s="8">
        <v>103</v>
      </c>
      <c r="BD43" s="2">
        <v>3.64</v>
      </c>
    </row>
    <row r="44" spans="1:56" x14ac:dyDescent="0.25">
      <c r="A44">
        <f t="shared" si="0"/>
        <v>43</v>
      </c>
      <c r="B44" s="1">
        <v>46052</v>
      </c>
      <c r="C44" s="6">
        <v>0.58333333333333337</v>
      </c>
      <c r="D44" s="2" t="s">
        <v>48</v>
      </c>
      <c r="E44">
        <v>20</v>
      </c>
      <c r="F44" s="2" t="s">
        <v>141</v>
      </c>
      <c r="G44" s="2" t="s">
        <v>142</v>
      </c>
      <c r="H44" s="2" t="s">
        <v>102</v>
      </c>
      <c r="I44" s="2" t="s">
        <v>103</v>
      </c>
      <c r="J44" s="3">
        <v>0.68</v>
      </c>
      <c r="K44" s="3">
        <v>1.19</v>
      </c>
      <c r="L44" s="3">
        <v>22.22</v>
      </c>
      <c r="M44" s="3">
        <v>11.11</v>
      </c>
      <c r="N44" s="3">
        <v>66.67</v>
      </c>
      <c r="O44" s="3">
        <v>66.67</v>
      </c>
      <c r="P44" s="3">
        <v>11.11</v>
      </c>
      <c r="Q44" s="3">
        <v>22.22</v>
      </c>
      <c r="R44" s="5">
        <f>IFERROR(IF(_0_00_A_PAINEL_MASTER_V20_APOSTA_ROD[[#This Row],[Met]]="Back_Casa",1,2),0)</f>
        <v>2</v>
      </c>
      <c r="S44" s="3">
        <v>1.89</v>
      </c>
      <c r="T44" s="3">
        <v>1</v>
      </c>
      <c r="U44" s="3">
        <v>-1</v>
      </c>
      <c r="V44" s="3">
        <v>1</v>
      </c>
      <c r="W44" s="3">
        <v>1</v>
      </c>
      <c r="X44" s="3">
        <v>0</v>
      </c>
      <c r="Y44" s="3"/>
      <c r="Z44" s="3"/>
      <c r="AA44" s="3"/>
      <c r="AB44" s="3"/>
      <c r="AI44" s="8">
        <v>2.04</v>
      </c>
      <c r="AJ44" s="2">
        <v>2</v>
      </c>
      <c r="AK44" s="9">
        <v>2.04</v>
      </c>
      <c r="AL44" s="2">
        <v>2.08</v>
      </c>
      <c r="BC44" s="8">
        <v>104</v>
      </c>
      <c r="BD44" s="2">
        <v>2.64</v>
      </c>
    </row>
    <row r="45" spans="1:56" x14ac:dyDescent="0.25">
      <c r="A45">
        <f t="shared" si="0"/>
        <v>44</v>
      </c>
      <c r="B45" s="1">
        <v>46052</v>
      </c>
      <c r="C45" s="6">
        <v>0.60416666666666663</v>
      </c>
      <c r="D45" s="2" t="s">
        <v>53</v>
      </c>
      <c r="E45">
        <v>20</v>
      </c>
      <c r="F45" s="2" t="s">
        <v>145</v>
      </c>
      <c r="G45" s="2" t="s">
        <v>114</v>
      </c>
      <c r="H45" s="2" t="s">
        <v>102</v>
      </c>
      <c r="I45" s="2" t="s">
        <v>103</v>
      </c>
      <c r="J45" s="3">
        <v>0.98</v>
      </c>
      <c r="K45" s="3">
        <v>1.22</v>
      </c>
      <c r="L45" s="3">
        <v>22.22</v>
      </c>
      <c r="M45" s="3">
        <v>11.11</v>
      </c>
      <c r="N45" s="3">
        <v>66.67</v>
      </c>
      <c r="O45" s="3">
        <v>40</v>
      </c>
      <c r="P45" s="3">
        <v>40</v>
      </c>
      <c r="Q45" s="3">
        <v>20</v>
      </c>
      <c r="R45" s="5">
        <f>IFERROR(IF(_0_00_A_PAINEL_MASTER_V20_APOSTA_ROD[[#This Row],[Met]]="Back_Casa",1,2),0)</f>
        <v>2</v>
      </c>
      <c r="S45" s="3">
        <v>2.62</v>
      </c>
      <c r="T45" s="3">
        <v>1</v>
      </c>
      <c r="U45" s="3">
        <v>1.62</v>
      </c>
      <c r="V45" s="3">
        <v>1</v>
      </c>
      <c r="W45" s="3">
        <v>2</v>
      </c>
      <c r="X45" s="3">
        <v>2</v>
      </c>
      <c r="Y45" s="3"/>
      <c r="Z45" s="3"/>
      <c r="AA45" s="3"/>
      <c r="AB45" s="3"/>
      <c r="AI45" s="8">
        <v>2.23</v>
      </c>
      <c r="AJ45" s="2">
        <v>1</v>
      </c>
      <c r="AK45" s="9">
        <v>2.23</v>
      </c>
      <c r="AL45" s="2">
        <v>-1</v>
      </c>
      <c r="BC45" s="8">
        <v>105</v>
      </c>
      <c r="BD45" s="2">
        <v>1.6400000000000001</v>
      </c>
    </row>
    <row r="46" spans="1:56" x14ac:dyDescent="0.25">
      <c r="A46">
        <f t="shared" si="0"/>
        <v>45</v>
      </c>
      <c r="B46" s="1">
        <v>46052</v>
      </c>
      <c r="C46" s="6">
        <v>0.60416666666666663</v>
      </c>
      <c r="D46" s="2" t="s">
        <v>53</v>
      </c>
      <c r="E46">
        <v>20</v>
      </c>
      <c r="F46" s="2" t="s">
        <v>110</v>
      </c>
      <c r="G46" s="2" t="s">
        <v>123</v>
      </c>
      <c r="H46" s="2" t="s">
        <v>99</v>
      </c>
      <c r="I46" s="2" t="s">
        <v>100</v>
      </c>
      <c r="J46" s="3">
        <v>0.89</v>
      </c>
      <c r="K46" s="3">
        <v>0.61</v>
      </c>
      <c r="L46" s="3">
        <v>50</v>
      </c>
      <c r="M46" s="3">
        <v>30</v>
      </c>
      <c r="N46" s="3">
        <v>20</v>
      </c>
      <c r="O46" s="3">
        <v>22.22</v>
      </c>
      <c r="P46" s="3">
        <v>0</v>
      </c>
      <c r="Q46" s="3">
        <v>77.78</v>
      </c>
      <c r="R46" s="5">
        <f>IFERROR(IF(_0_00_A_PAINEL_MASTER_V20_APOSTA_ROD[[#This Row],[Met]]="Back_Casa",1,2),0)</f>
        <v>1</v>
      </c>
      <c r="S46" s="3">
        <v>1.91</v>
      </c>
      <c r="T46" s="3">
        <v>1</v>
      </c>
      <c r="U46" s="3">
        <v>-1</v>
      </c>
      <c r="V46" s="3">
        <v>1</v>
      </c>
      <c r="W46" s="3">
        <v>1</v>
      </c>
      <c r="X46" s="3">
        <v>0</v>
      </c>
      <c r="Y46" s="3"/>
      <c r="Z46" s="3"/>
      <c r="AA46" s="3"/>
      <c r="AB46" s="3"/>
      <c r="AI46" s="8">
        <v>1.55</v>
      </c>
      <c r="AJ46" s="2">
        <v>2</v>
      </c>
      <c r="AK46" s="9">
        <v>1.55</v>
      </c>
      <c r="AL46" s="2">
        <v>-0.44999999999999996</v>
      </c>
      <c r="BC46" s="8">
        <v>106</v>
      </c>
      <c r="BD46" s="2">
        <v>2.42</v>
      </c>
    </row>
    <row r="47" spans="1:56" x14ac:dyDescent="0.25">
      <c r="A47">
        <f t="shared" si="0"/>
        <v>46</v>
      </c>
      <c r="B47" s="1">
        <v>46052</v>
      </c>
      <c r="C47" s="6">
        <v>0.66666666666666663</v>
      </c>
      <c r="D47" s="2" t="s">
        <v>43</v>
      </c>
      <c r="E47">
        <v>25</v>
      </c>
      <c r="F47" s="2" t="s">
        <v>143</v>
      </c>
      <c r="G47" s="2" t="s">
        <v>144</v>
      </c>
      <c r="H47" s="2" t="s">
        <v>99</v>
      </c>
      <c r="I47" s="2" t="s">
        <v>100</v>
      </c>
      <c r="J47" s="3">
        <v>1.44</v>
      </c>
      <c r="K47" s="3">
        <v>0.7</v>
      </c>
      <c r="L47" s="3">
        <v>50</v>
      </c>
      <c r="M47" s="3">
        <v>16.670000000000002</v>
      </c>
      <c r="N47" s="3">
        <v>33.33</v>
      </c>
      <c r="O47" s="3">
        <v>25</v>
      </c>
      <c r="P47" s="3">
        <v>8.33</v>
      </c>
      <c r="Q47" s="3">
        <v>66.67</v>
      </c>
      <c r="R47" s="5">
        <f>IFERROR(IF(_0_00_A_PAINEL_MASTER_V20_APOSTA_ROD[[#This Row],[Met]]="Back_Casa",1,2),0)</f>
        <v>1</v>
      </c>
      <c r="S47" s="3">
        <v>1.99</v>
      </c>
      <c r="T47" s="3">
        <v>1</v>
      </c>
      <c r="U47" s="3">
        <v>-1</v>
      </c>
      <c r="V47" s="3">
        <v>1</v>
      </c>
      <c r="W47" s="3">
        <v>1</v>
      </c>
      <c r="X47" s="3">
        <v>0</v>
      </c>
      <c r="Y47" s="3"/>
      <c r="Z47" s="3"/>
      <c r="AA47" s="3"/>
      <c r="AB47" s="3"/>
      <c r="AI47" s="8">
        <v>1.51</v>
      </c>
      <c r="AJ47" s="2">
        <v>2</v>
      </c>
      <c r="AK47" s="9">
        <v>1.51</v>
      </c>
      <c r="AL47" s="2">
        <v>-0.49</v>
      </c>
      <c r="BC47" s="8">
        <v>107</v>
      </c>
      <c r="BD47" s="2">
        <v>3.36</v>
      </c>
    </row>
    <row r="48" spans="1:56" x14ac:dyDescent="0.25">
      <c r="A48">
        <f t="shared" ref="A48:A111" si="2">1+A47</f>
        <v>47</v>
      </c>
      <c r="B48" s="1">
        <v>46053</v>
      </c>
      <c r="C48" s="6">
        <v>0.39583333333333331</v>
      </c>
      <c r="D48" s="2" t="s">
        <v>27</v>
      </c>
      <c r="E48">
        <v>30</v>
      </c>
      <c r="F48" s="2" t="s">
        <v>151</v>
      </c>
      <c r="G48" s="2" t="s">
        <v>152</v>
      </c>
      <c r="H48" s="2" t="s">
        <v>99</v>
      </c>
      <c r="I48" s="2" t="s">
        <v>100</v>
      </c>
      <c r="J48" s="3">
        <v>0.84</v>
      </c>
      <c r="K48" s="3">
        <v>0.46</v>
      </c>
      <c r="L48" s="3">
        <v>64.290000000000006</v>
      </c>
      <c r="M48" s="3">
        <v>21.43</v>
      </c>
      <c r="N48" s="3">
        <v>14.29</v>
      </c>
      <c r="O48" s="3">
        <v>21.43</v>
      </c>
      <c r="P48" s="3">
        <v>21.43</v>
      </c>
      <c r="Q48" s="3">
        <v>57.14</v>
      </c>
      <c r="R48" s="5">
        <f>IFERROR(IF(_0_00_A_PAINEL_MASTER_V20_APOSTA_ROD[[#This Row],[Met]]="Back_Casa",1,2),0)</f>
        <v>1</v>
      </c>
      <c r="S48" s="3">
        <v>2.62</v>
      </c>
      <c r="T48" s="3">
        <v>1</v>
      </c>
      <c r="U48" s="3">
        <v>1.62</v>
      </c>
      <c r="V48" s="3">
        <v>0</v>
      </c>
      <c r="W48" s="3">
        <v>1</v>
      </c>
      <c r="X48" s="3">
        <v>2</v>
      </c>
      <c r="Y48" s="3"/>
      <c r="Z48" s="3"/>
      <c r="AA48" s="3"/>
      <c r="AB48" s="3"/>
      <c r="AI48" s="8">
        <v>1.88</v>
      </c>
      <c r="AJ48" s="2">
        <v>2</v>
      </c>
      <c r="AK48" s="9">
        <v>1.88</v>
      </c>
      <c r="AL48" s="2">
        <v>-0.12</v>
      </c>
      <c r="BC48" s="8">
        <v>108</v>
      </c>
      <c r="BD48" s="2">
        <v>4.2</v>
      </c>
    </row>
    <row r="49" spans="1:56" x14ac:dyDescent="0.25">
      <c r="A49">
        <f t="shared" si="2"/>
        <v>48</v>
      </c>
      <c r="B49" s="1">
        <v>46053</v>
      </c>
      <c r="C49" s="6">
        <v>0.41666666666666669</v>
      </c>
      <c r="D49" s="2" t="s">
        <v>50</v>
      </c>
      <c r="E49">
        <v>22</v>
      </c>
      <c r="F49" s="2" t="s">
        <v>111</v>
      </c>
      <c r="G49" s="2" t="s">
        <v>170</v>
      </c>
      <c r="H49" s="2" t="s">
        <v>99</v>
      </c>
      <c r="I49" s="2" t="s">
        <v>100</v>
      </c>
      <c r="J49" s="3">
        <v>0.97</v>
      </c>
      <c r="K49" s="3">
        <v>0.96</v>
      </c>
      <c r="L49" s="3">
        <v>54.55</v>
      </c>
      <c r="M49" s="3">
        <v>18.18</v>
      </c>
      <c r="N49" s="3">
        <v>27.27</v>
      </c>
      <c r="O49" s="3">
        <v>40</v>
      </c>
      <c r="P49" s="3">
        <v>0</v>
      </c>
      <c r="Q49" s="3">
        <v>60</v>
      </c>
      <c r="R49" s="5">
        <f>IFERROR(IF(_0_00_A_PAINEL_MASTER_V20_APOSTA_ROD[[#This Row],[Met]]="Back_Casa",1,2),0)</f>
        <v>1</v>
      </c>
      <c r="S49" s="3">
        <v>2.2999999999999998</v>
      </c>
      <c r="T49" s="3">
        <v>1</v>
      </c>
      <c r="U49" s="3">
        <v>-1</v>
      </c>
      <c r="V49" s="3">
        <v>1</v>
      </c>
      <c r="W49" s="3">
        <v>3</v>
      </c>
      <c r="X49" s="3">
        <v>2</v>
      </c>
      <c r="Y49" s="3"/>
      <c r="Z49" s="3"/>
      <c r="AA49" s="3"/>
      <c r="AB49" s="3"/>
      <c r="AI49" s="8">
        <v>1.48</v>
      </c>
      <c r="AJ49" s="2">
        <v>2</v>
      </c>
      <c r="AK49" s="9">
        <v>1.48</v>
      </c>
      <c r="AL49" s="2">
        <v>0.96</v>
      </c>
      <c r="BC49" s="8">
        <v>109</v>
      </c>
      <c r="BD49" s="2">
        <v>3.2</v>
      </c>
    </row>
    <row r="50" spans="1:56" x14ac:dyDescent="0.25">
      <c r="A50">
        <f t="shared" si="2"/>
        <v>49</v>
      </c>
      <c r="B50" s="1">
        <v>46053</v>
      </c>
      <c r="C50" s="6">
        <v>0.41666666666666669</v>
      </c>
      <c r="D50" s="2" t="s">
        <v>154</v>
      </c>
      <c r="E50">
        <v>21</v>
      </c>
      <c r="F50" s="2" t="s">
        <v>155</v>
      </c>
      <c r="G50" s="2" t="s">
        <v>156</v>
      </c>
      <c r="H50" s="2" t="s">
        <v>99</v>
      </c>
      <c r="I50" s="2" t="s">
        <v>100</v>
      </c>
      <c r="J50" s="3">
        <v>1.1599999999999999</v>
      </c>
      <c r="K50" s="3">
        <v>0.56999999999999995</v>
      </c>
      <c r="L50" s="3">
        <v>50</v>
      </c>
      <c r="M50" s="3">
        <v>30</v>
      </c>
      <c r="N50" s="3">
        <v>20</v>
      </c>
      <c r="O50" s="3">
        <v>40</v>
      </c>
      <c r="P50" s="3">
        <v>0</v>
      </c>
      <c r="Q50" s="3">
        <v>60</v>
      </c>
      <c r="R50" s="5">
        <f>IFERROR(IF(_0_00_A_PAINEL_MASTER_V20_APOSTA_ROD[[#This Row],[Met]]="Back_Casa",1,2),0)</f>
        <v>1</v>
      </c>
      <c r="S50" s="3">
        <v>2.0699999999999998</v>
      </c>
      <c r="T50" s="3">
        <v>1</v>
      </c>
      <c r="U50" s="3">
        <v>-1</v>
      </c>
      <c r="V50" s="3">
        <v>0</v>
      </c>
      <c r="W50" s="3">
        <v>1</v>
      </c>
      <c r="X50" s="3">
        <v>2</v>
      </c>
      <c r="Y50" s="3"/>
      <c r="Z50" s="3"/>
      <c r="AA50" s="3"/>
      <c r="AB50" s="3"/>
      <c r="AI50" s="8">
        <v>2.38</v>
      </c>
      <c r="AJ50" s="2">
        <v>1</v>
      </c>
      <c r="AK50" s="9">
        <v>2.38</v>
      </c>
      <c r="AL50" s="2">
        <v>1.38</v>
      </c>
      <c r="BC50" s="8">
        <v>110</v>
      </c>
      <c r="BD50" s="2">
        <v>3.87</v>
      </c>
    </row>
    <row r="51" spans="1:56" x14ac:dyDescent="0.25">
      <c r="A51">
        <f t="shared" si="2"/>
        <v>50</v>
      </c>
      <c r="B51" s="1">
        <v>46053</v>
      </c>
      <c r="C51" s="6">
        <v>0.45833333333333331</v>
      </c>
      <c r="D51" s="2" t="s">
        <v>63</v>
      </c>
      <c r="E51">
        <v>22</v>
      </c>
      <c r="F51" s="2" t="s">
        <v>162</v>
      </c>
      <c r="G51" s="2" t="s">
        <v>75</v>
      </c>
      <c r="H51" s="2" t="s">
        <v>102</v>
      </c>
      <c r="I51" s="2" t="s">
        <v>103</v>
      </c>
      <c r="J51" s="3">
        <v>0.71</v>
      </c>
      <c r="K51" s="3">
        <v>0.65</v>
      </c>
      <c r="L51" s="3">
        <v>40</v>
      </c>
      <c r="M51" s="3">
        <v>30</v>
      </c>
      <c r="N51" s="3">
        <v>30</v>
      </c>
      <c r="O51" s="3">
        <v>54.55</v>
      </c>
      <c r="P51" s="3">
        <v>9.09</v>
      </c>
      <c r="Q51" s="3">
        <v>36.36</v>
      </c>
      <c r="R51" s="5">
        <f>IFERROR(IF(_0_00_A_PAINEL_MASTER_V20_APOSTA_ROD[[#This Row],[Met]]="Back_Casa",1,2),0)</f>
        <v>2</v>
      </c>
      <c r="S51" s="3">
        <v>2.65</v>
      </c>
      <c r="T51" s="3">
        <v>1</v>
      </c>
      <c r="U51" s="3">
        <v>-1</v>
      </c>
      <c r="V51" s="3">
        <v>2</v>
      </c>
      <c r="W51" s="3">
        <v>1</v>
      </c>
      <c r="X51" s="3">
        <v>1</v>
      </c>
      <c r="Y51" s="3"/>
      <c r="Z51" s="3"/>
      <c r="AA51" s="3"/>
      <c r="AB51" s="3"/>
      <c r="AI51" s="8">
        <v>1.76</v>
      </c>
      <c r="AJ51" s="2">
        <v>1</v>
      </c>
      <c r="AK51" s="9">
        <v>1.76</v>
      </c>
      <c r="AL51" s="2">
        <v>0.78</v>
      </c>
      <c r="BC51" s="8">
        <v>111</v>
      </c>
      <c r="BD51" s="2">
        <v>5.52</v>
      </c>
    </row>
    <row r="52" spans="1:56" x14ac:dyDescent="0.25">
      <c r="A52">
        <f t="shared" si="2"/>
        <v>51</v>
      </c>
      <c r="B52" s="1">
        <v>46053</v>
      </c>
      <c r="C52" s="6">
        <v>0.5</v>
      </c>
      <c r="D52" s="2" t="s">
        <v>27</v>
      </c>
      <c r="E52">
        <v>30</v>
      </c>
      <c r="F52" s="2" t="s">
        <v>163</v>
      </c>
      <c r="G52" s="2" t="s">
        <v>68</v>
      </c>
      <c r="H52" s="2" t="s">
        <v>102</v>
      </c>
      <c r="I52" s="2" t="s">
        <v>103</v>
      </c>
      <c r="J52" s="3">
        <v>0.46</v>
      </c>
      <c r="K52" s="3">
        <v>0.62</v>
      </c>
      <c r="L52" s="3">
        <v>38.46</v>
      </c>
      <c r="M52" s="3">
        <v>30.77</v>
      </c>
      <c r="N52" s="3">
        <v>30.77</v>
      </c>
      <c r="O52" s="3">
        <v>35.71</v>
      </c>
      <c r="P52" s="3">
        <v>35.71</v>
      </c>
      <c r="Q52" s="3">
        <v>28.57</v>
      </c>
      <c r="R52" s="5">
        <f>IFERROR(IF(_0_00_A_PAINEL_MASTER_V20_APOSTA_ROD[[#This Row],[Met]]="Back_Casa",1,2),0)</f>
        <v>2</v>
      </c>
      <c r="S52" s="3">
        <v>2.19</v>
      </c>
      <c r="T52" s="3">
        <v>1</v>
      </c>
      <c r="U52" s="3">
        <v>1.19</v>
      </c>
      <c r="V52" s="3">
        <v>0</v>
      </c>
      <c r="W52" s="3">
        <v>1</v>
      </c>
      <c r="X52" s="3">
        <v>2</v>
      </c>
      <c r="Y52" s="3"/>
      <c r="Z52" s="3"/>
      <c r="AA52" s="3"/>
      <c r="AB52" s="3"/>
      <c r="AI52" s="8">
        <v>1.67</v>
      </c>
      <c r="AJ52" s="2">
        <v>1</v>
      </c>
      <c r="AK52" s="9">
        <v>1.67</v>
      </c>
      <c r="AL52" s="2">
        <v>0.67</v>
      </c>
      <c r="BC52" s="8">
        <v>112</v>
      </c>
      <c r="BD52" s="2">
        <v>4.5199999999999996</v>
      </c>
    </row>
    <row r="53" spans="1:56" x14ac:dyDescent="0.25">
      <c r="A53">
        <f t="shared" si="2"/>
        <v>52</v>
      </c>
      <c r="B53" s="1">
        <v>46053</v>
      </c>
      <c r="C53" s="6">
        <v>0.5</v>
      </c>
      <c r="D53" s="2" t="s">
        <v>27</v>
      </c>
      <c r="E53">
        <v>30</v>
      </c>
      <c r="F53" s="2" t="s">
        <v>108</v>
      </c>
      <c r="G53" s="2" t="s">
        <v>164</v>
      </c>
      <c r="H53" s="2" t="s">
        <v>102</v>
      </c>
      <c r="I53" s="2" t="s">
        <v>103</v>
      </c>
      <c r="J53" s="3">
        <v>0.56000000000000005</v>
      </c>
      <c r="K53" s="3">
        <v>0.66</v>
      </c>
      <c r="L53" s="3">
        <v>35.71</v>
      </c>
      <c r="M53" s="3">
        <v>21.43</v>
      </c>
      <c r="N53" s="3">
        <v>42.86</v>
      </c>
      <c r="O53" s="3">
        <v>46.15</v>
      </c>
      <c r="P53" s="3">
        <v>30.77</v>
      </c>
      <c r="Q53" s="3">
        <v>23.08</v>
      </c>
      <c r="R53" s="5">
        <f>IFERROR(IF(_0_00_A_PAINEL_MASTER_V20_APOSTA_ROD[[#This Row],[Met]]="Back_Casa",1,2),0)</f>
        <v>2</v>
      </c>
      <c r="S53" s="3">
        <v>2.1800000000000002</v>
      </c>
      <c r="T53" s="3">
        <v>1</v>
      </c>
      <c r="U53" s="3">
        <v>-1</v>
      </c>
      <c r="V53" s="3">
        <v>2</v>
      </c>
      <c r="W53" s="3">
        <v>2</v>
      </c>
      <c r="X53" s="3">
        <v>0</v>
      </c>
      <c r="Y53" s="3"/>
      <c r="Z53" s="3"/>
      <c r="AA53" s="3"/>
      <c r="AB53" s="3"/>
      <c r="AI53" s="8">
        <v>2.35</v>
      </c>
      <c r="AJ53" s="2">
        <v>1</v>
      </c>
      <c r="AK53" s="9">
        <v>2.35</v>
      </c>
      <c r="AL53" s="2">
        <v>-1</v>
      </c>
      <c r="BC53" s="8">
        <v>113</v>
      </c>
      <c r="BD53" s="2">
        <v>5.2299999999999995</v>
      </c>
    </row>
    <row r="54" spans="1:56" x14ac:dyDescent="0.25">
      <c r="A54">
        <f t="shared" si="2"/>
        <v>53</v>
      </c>
      <c r="B54" s="1">
        <v>46053</v>
      </c>
      <c r="C54" s="6">
        <v>0.5</v>
      </c>
      <c r="D54" s="2" t="s">
        <v>27</v>
      </c>
      <c r="E54">
        <v>30</v>
      </c>
      <c r="F54" s="2" t="s">
        <v>171</v>
      </c>
      <c r="G54" s="2" t="s">
        <v>172</v>
      </c>
      <c r="H54" s="2" t="s">
        <v>99</v>
      </c>
      <c r="I54" s="2" t="s">
        <v>100</v>
      </c>
      <c r="J54" s="3">
        <v>0.78</v>
      </c>
      <c r="K54" s="3">
        <v>0.83</v>
      </c>
      <c r="L54" s="3">
        <v>50</v>
      </c>
      <c r="M54" s="3">
        <v>21.43</v>
      </c>
      <c r="N54" s="3">
        <v>28.57</v>
      </c>
      <c r="O54" s="3">
        <v>46.15</v>
      </c>
      <c r="P54" s="3">
        <v>7.69</v>
      </c>
      <c r="Q54" s="3">
        <v>46.15</v>
      </c>
      <c r="R54" s="5">
        <f>IFERROR(IF(_0_00_A_PAINEL_MASTER_V20_APOSTA_ROD[[#This Row],[Met]]="Back_Casa",1,2),0)</f>
        <v>1</v>
      </c>
      <c r="S54" s="3">
        <v>1.72</v>
      </c>
      <c r="T54" s="3">
        <v>1</v>
      </c>
      <c r="U54" s="3">
        <v>0.72</v>
      </c>
      <c r="V54" s="3">
        <v>2</v>
      </c>
      <c r="W54" s="3">
        <v>1</v>
      </c>
      <c r="X54" s="3">
        <v>1</v>
      </c>
      <c r="Y54" s="3"/>
      <c r="Z54" s="3"/>
      <c r="AA54" s="3"/>
      <c r="AB54" s="3"/>
      <c r="AI54" s="8">
        <v>2.08</v>
      </c>
      <c r="AJ54" s="2">
        <v>2</v>
      </c>
      <c r="AK54" s="9">
        <v>2.08</v>
      </c>
      <c r="AL54" s="2">
        <v>2.16</v>
      </c>
      <c r="BC54" s="8">
        <v>114</v>
      </c>
      <c r="BD54" s="2">
        <v>6.27</v>
      </c>
    </row>
    <row r="55" spans="1:56" x14ac:dyDescent="0.25">
      <c r="A55">
        <f t="shared" si="2"/>
        <v>54</v>
      </c>
      <c r="B55" s="1">
        <v>46053</v>
      </c>
      <c r="C55" s="6">
        <v>0.5</v>
      </c>
      <c r="D55" s="2" t="s">
        <v>27</v>
      </c>
      <c r="E55">
        <v>30</v>
      </c>
      <c r="F55" s="2" t="s">
        <v>149</v>
      </c>
      <c r="G55" s="2" t="s">
        <v>150</v>
      </c>
      <c r="H55" s="2" t="s">
        <v>99</v>
      </c>
      <c r="I55" s="2" t="s">
        <v>100</v>
      </c>
      <c r="J55" s="3">
        <v>0.77</v>
      </c>
      <c r="K55" s="3">
        <v>0.48</v>
      </c>
      <c r="L55" s="3">
        <v>50</v>
      </c>
      <c r="M55" s="3">
        <v>28.57</v>
      </c>
      <c r="N55" s="3">
        <v>21.43</v>
      </c>
      <c r="O55" s="3">
        <v>23.08</v>
      </c>
      <c r="P55" s="3">
        <v>7.69</v>
      </c>
      <c r="Q55" s="3">
        <v>69.23</v>
      </c>
      <c r="R55" s="5">
        <f>IFERROR(IF(_0_00_A_PAINEL_MASTER_V20_APOSTA_ROD[[#This Row],[Met]]="Back_Casa",1,2),0)</f>
        <v>1</v>
      </c>
      <c r="S55" s="3">
        <v>1.66</v>
      </c>
      <c r="T55" s="3">
        <v>1</v>
      </c>
      <c r="U55" s="3">
        <v>0.66</v>
      </c>
      <c r="V55" s="3">
        <v>1</v>
      </c>
      <c r="W55" s="3">
        <v>0</v>
      </c>
      <c r="X55" s="3">
        <v>1</v>
      </c>
      <c r="Y55" s="3"/>
      <c r="Z55" s="3"/>
      <c r="AA55" s="3"/>
      <c r="AB55" s="3"/>
      <c r="AI55" s="8">
        <v>2.37</v>
      </c>
      <c r="AJ55" s="2">
        <v>1</v>
      </c>
      <c r="AK55" s="9">
        <v>2.37</v>
      </c>
      <c r="AL55" s="2">
        <v>1.37</v>
      </c>
      <c r="BC55" s="8">
        <v>115</v>
      </c>
      <c r="BD55" s="2">
        <v>5.27</v>
      </c>
    </row>
    <row r="56" spans="1:56" x14ac:dyDescent="0.25">
      <c r="A56">
        <f t="shared" si="2"/>
        <v>55</v>
      </c>
      <c r="B56" s="1">
        <v>46053</v>
      </c>
      <c r="C56" s="6">
        <v>0.5</v>
      </c>
      <c r="D56" s="2" t="s">
        <v>27</v>
      </c>
      <c r="E56">
        <v>30</v>
      </c>
      <c r="F56" s="2" t="s">
        <v>147</v>
      </c>
      <c r="G56" s="2" t="s">
        <v>148</v>
      </c>
      <c r="H56" s="2" t="s">
        <v>99</v>
      </c>
      <c r="I56" s="2" t="s">
        <v>100</v>
      </c>
      <c r="J56" s="3">
        <v>1.1399999999999999</v>
      </c>
      <c r="K56" s="3">
        <v>0.53</v>
      </c>
      <c r="L56" s="3">
        <v>50</v>
      </c>
      <c r="M56" s="3">
        <v>16.670000000000002</v>
      </c>
      <c r="N56" s="3">
        <v>33.33</v>
      </c>
      <c r="O56" s="3">
        <v>35.71</v>
      </c>
      <c r="P56" s="3">
        <v>21.43</v>
      </c>
      <c r="Q56" s="3">
        <v>42.86</v>
      </c>
      <c r="R56" s="5">
        <f>IFERROR(IF(_0_00_A_PAINEL_MASTER_V20_APOSTA_ROD[[#This Row],[Met]]="Back_Casa",1,2),0)</f>
        <v>1</v>
      </c>
      <c r="S56" s="3">
        <v>2.5</v>
      </c>
      <c r="T56" s="3">
        <v>1</v>
      </c>
      <c r="U56" s="3">
        <v>1.5</v>
      </c>
      <c r="V56" s="3">
        <v>3</v>
      </c>
      <c r="W56" s="3">
        <v>1</v>
      </c>
      <c r="X56" s="3">
        <v>1</v>
      </c>
      <c r="Y56" s="3"/>
      <c r="Z56" s="3"/>
      <c r="AA56" s="3"/>
      <c r="AB56" s="3"/>
      <c r="AI56" s="8">
        <v>1.85</v>
      </c>
      <c r="AJ56" s="2">
        <v>1</v>
      </c>
      <c r="AK56" s="9">
        <v>1.85</v>
      </c>
      <c r="AL56" s="2">
        <v>-1</v>
      </c>
      <c r="BC56" s="8">
        <v>116</v>
      </c>
      <c r="BD56" s="2">
        <v>6.35</v>
      </c>
    </row>
    <row r="57" spans="1:56" x14ac:dyDescent="0.25">
      <c r="A57">
        <f t="shared" si="2"/>
        <v>56</v>
      </c>
      <c r="B57" s="1">
        <v>46053</v>
      </c>
      <c r="C57" s="6">
        <v>0.5</v>
      </c>
      <c r="D57" s="2" t="s">
        <v>21</v>
      </c>
      <c r="E57">
        <v>30</v>
      </c>
      <c r="F57" s="2" t="s">
        <v>67</v>
      </c>
      <c r="G57" s="2" t="s">
        <v>173</v>
      </c>
      <c r="H57" s="2" t="s">
        <v>99</v>
      </c>
      <c r="I57" s="2" t="s">
        <v>100</v>
      </c>
      <c r="J57" s="3">
        <v>0.74</v>
      </c>
      <c r="K57" s="3">
        <v>0.66</v>
      </c>
      <c r="L57" s="3">
        <v>60</v>
      </c>
      <c r="M57" s="3">
        <v>13.33</v>
      </c>
      <c r="N57" s="3">
        <v>26.67</v>
      </c>
      <c r="O57" s="3">
        <v>33.33</v>
      </c>
      <c r="P57" s="3">
        <v>0</v>
      </c>
      <c r="Q57" s="3">
        <v>66.67</v>
      </c>
      <c r="R57" s="5">
        <f>IFERROR(IF(_0_00_A_PAINEL_MASTER_V20_APOSTA_ROD[[#This Row],[Met]]="Back_Casa",1,2),0)</f>
        <v>1</v>
      </c>
      <c r="S57" s="3">
        <v>2.4</v>
      </c>
      <c r="T57" s="3">
        <v>1</v>
      </c>
      <c r="U57" s="3">
        <v>-1</v>
      </c>
      <c r="V57" s="3">
        <v>1</v>
      </c>
      <c r="W57" s="3">
        <v>1</v>
      </c>
      <c r="X57" s="3">
        <v>0</v>
      </c>
      <c r="Y57" s="3"/>
      <c r="Z57" s="3"/>
      <c r="AA57" s="3"/>
      <c r="AB57" s="3"/>
      <c r="AI57" s="8" t="s">
        <v>247</v>
      </c>
      <c r="AJ57" s="2">
        <v>1</v>
      </c>
      <c r="AK57" s="9" t="e">
        <v>#DIV/0!</v>
      </c>
      <c r="AL57" s="2">
        <v>-1</v>
      </c>
      <c r="BC57" s="8">
        <v>117</v>
      </c>
      <c r="BD57" s="2">
        <v>7.72</v>
      </c>
    </row>
    <row r="58" spans="1:56" x14ac:dyDescent="0.25">
      <c r="A58">
        <f t="shared" si="2"/>
        <v>57</v>
      </c>
      <c r="B58" s="1">
        <v>46053</v>
      </c>
      <c r="C58" s="6">
        <v>0.5</v>
      </c>
      <c r="D58" s="2" t="s">
        <v>21</v>
      </c>
      <c r="E58">
        <v>30</v>
      </c>
      <c r="F58" s="2" t="s">
        <v>153</v>
      </c>
      <c r="G58" s="2" t="s">
        <v>22</v>
      </c>
      <c r="H58" s="2" t="s">
        <v>99</v>
      </c>
      <c r="I58" s="2" t="s">
        <v>100</v>
      </c>
      <c r="J58" s="3">
        <v>0.9</v>
      </c>
      <c r="K58" s="3">
        <v>0.45</v>
      </c>
      <c r="L58" s="3">
        <v>53.33</v>
      </c>
      <c r="M58" s="3">
        <v>33.33</v>
      </c>
      <c r="N58" s="3">
        <v>13.33</v>
      </c>
      <c r="O58" s="3">
        <v>21.43</v>
      </c>
      <c r="P58" s="3">
        <v>14.29</v>
      </c>
      <c r="Q58" s="3">
        <v>64.290000000000006</v>
      </c>
      <c r="R58" s="5">
        <f>IFERROR(IF(_0_00_A_PAINEL_MASTER_V20_APOSTA_ROD[[#This Row],[Met]]="Back_Casa",1,2),0)</f>
        <v>1</v>
      </c>
      <c r="S58" s="3">
        <v>2.17</v>
      </c>
      <c r="T58" s="3">
        <v>1</v>
      </c>
      <c r="U58" s="3">
        <v>-1</v>
      </c>
      <c r="V58" s="3">
        <v>0</v>
      </c>
      <c r="W58" s="3">
        <v>2</v>
      </c>
      <c r="X58" s="3">
        <v>2</v>
      </c>
      <c r="Y58" s="3"/>
      <c r="Z58" s="3"/>
      <c r="AA58" s="3"/>
      <c r="AB58" s="3"/>
      <c r="AI58" s="8">
        <v>1.93</v>
      </c>
      <c r="AJ58" s="2">
        <v>1</v>
      </c>
      <c r="AK58" s="9">
        <v>1.93</v>
      </c>
      <c r="AL58" s="2">
        <v>-1</v>
      </c>
      <c r="BC58" s="8">
        <v>118</v>
      </c>
      <c r="BD58" s="2">
        <v>8.1199999999999992</v>
      </c>
    </row>
    <row r="59" spans="1:56" x14ac:dyDescent="0.25">
      <c r="A59">
        <f t="shared" si="2"/>
        <v>58</v>
      </c>
      <c r="B59" s="1">
        <v>46053</v>
      </c>
      <c r="C59" s="6">
        <v>0.58333333333333337</v>
      </c>
      <c r="D59" s="2" t="s">
        <v>48</v>
      </c>
      <c r="E59">
        <v>20</v>
      </c>
      <c r="F59" s="2" t="s">
        <v>167</v>
      </c>
      <c r="G59" s="2" t="s">
        <v>168</v>
      </c>
      <c r="H59" s="2" t="s">
        <v>99</v>
      </c>
      <c r="I59" s="2" t="s">
        <v>100</v>
      </c>
      <c r="J59" s="3">
        <v>0.75</v>
      </c>
      <c r="K59" s="3">
        <v>0.43</v>
      </c>
      <c r="L59" s="3">
        <v>55.56</v>
      </c>
      <c r="M59" s="3">
        <v>33.33</v>
      </c>
      <c r="N59" s="3">
        <v>11.11</v>
      </c>
      <c r="O59" s="3">
        <v>11.11</v>
      </c>
      <c r="P59" s="3">
        <v>11.11</v>
      </c>
      <c r="Q59" s="3">
        <v>77.78</v>
      </c>
      <c r="R59" s="5">
        <f>IFERROR(IF(_0_00_A_PAINEL_MASTER_V20_APOSTA_ROD[[#This Row],[Met]]="Back_Casa",1,2),0)</f>
        <v>1</v>
      </c>
      <c r="S59" s="3">
        <v>1.58</v>
      </c>
      <c r="T59" s="3">
        <v>1</v>
      </c>
      <c r="U59" s="3">
        <v>0.57999999999999996</v>
      </c>
      <c r="V59" s="3">
        <v>2</v>
      </c>
      <c r="W59" s="3">
        <v>1</v>
      </c>
      <c r="X59" s="3">
        <v>1</v>
      </c>
      <c r="Y59" s="3"/>
      <c r="Z59" s="3"/>
      <c r="AA59" s="3"/>
      <c r="AB59" s="3"/>
      <c r="AI59" s="8">
        <v>1.98</v>
      </c>
      <c r="AJ59" s="2">
        <v>1</v>
      </c>
      <c r="AK59" s="9">
        <v>1.98</v>
      </c>
      <c r="AL59" s="2">
        <v>0.98</v>
      </c>
      <c r="BC59" s="8">
        <v>119</v>
      </c>
      <c r="BD59" s="2">
        <v>7.1199999999999992</v>
      </c>
    </row>
    <row r="60" spans="1:56" x14ac:dyDescent="0.25">
      <c r="A60">
        <f t="shared" si="2"/>
        <v>59</v>
      </c>
      <c r="B60" s="1">
        <v>46053</v>
      </c>
      <c r="C60" s="6">
        <v>0.58333333333333337</v>
      </c>
      <c r="D60" s="2" t="s">
        <v>48</v>
      </c>
      <c r="E60">
        <v>20</v>
      </c>
      <c r="F60" s="2" t="s">
        <v>55</v>
      </c>
      <c r="G60" s="2" t="s">
        <v>169</v>
      </c>
      <c r="H60" s="2" t="s">
        <v>99</v>
      </c>
      <c r="I60" s="2" t="s">
        <v>100</v>
      </c>
      <c r="J60" s="3">
        <v>1</v>
      </c>
      <c r="K60" s="3">
        <v>0.7</v>
      </c>
      <c r="L60" s="3">
        <v>55.56</v>
      </c>
      <c r="M60" s="3">
        <v>22.22</v>
      </c>
      <c r="N60" s="3">
        <v>22.22</v>
      </c>
      <c r="O60" s="3">
        <v>22.22</v>
      </c>
      <c r="P60" s="3">
        <v>33.33</v>
      </c>
      <c r="Q60" s="3">
        <v>44.44</v>
      </c>
      <c r="R60" s="5">
        <f>IFERROR(IF(_0_00_A_PAINEL_MASTER_V20_APOSTA_ROD[[#This Row],[Met]]="Back_Casa",1,2),0)</f>
        <v>1</v>
      </c>
      <c r="S60" s="3">
        <v>1.5</v>
      </c>
      <c r="T60" s="3">
        <v>1</v>
      </c>
      <c r="U60" s="3">
        <v>0.5</v>
      </c>
      <c r="V60" s="3">
        <v>2</v>
      </c>
      <c r="W60" s="3">
        <v>1</v>
      </c>
      <c r="X60" s="3">
        <v>1</v>
      </c>
      <c r="Y60" s="3"/>
      <c r="Z60" s="3"/>
      <c r="AA60" s="3"/>
      <c r="AB60" s="3"/>
      <c r="AI60" s="8">
        <v>2.06</v>
      </c>
      <c r="AJ60" s="2">
        <v>1</v>
      </c>
      <c r="AK60" s="9">
        <v>2.06</v>
      </c>
      <c r="AL60" s="2">
        <v>-1</v>
      </c>
      <c r="BC60" s="8">
        <v>120</v>
      </c>
      <c r="BD60" s="2">
        <v>6.1199999999999992</v>
      </c>
    </row>
    <row r="61" spans="1:56" x14ac:dyDescent="0.25">
      <c r="A61">
        <f t="shared" si="2"/>
        <v>60</v>
      </c>
      <c r="B61" s="1">
        <v>46053</v>
      </c>
      <c r="C61" s="6">
        <v>0.60416666666666663</v>
      </c>
      <c r="D61" s="2" t="s">
        <v>20</v>
      </c>
      <c r="E61">
        <v>24</v>
      </c>
      <c r="F61" s="2" t="s">
        <v>160</v>
      </c>
      <c r="G61" s="2" t="s">
        <v>161</v>
      </c>
      <c r="H61" s="2" t="s">
        <v>99</v>
      </c>
      <c r="I61" s="2" t="s">
        <v>100</v>
      </c>
      <c r="J61" s="3">
        <v>0.92</v>
      </c>
      <c r="K61" s="3">
        <v>0.64</v>
      </c>
      <c r="L61" s="3">
        <v>45.45</v>
      </c>
      <c r="M61" s="3">
        <v>27.27</v>
      </c>
      <c r="N61" s="3">
        <v>27.27</v>
      </c>
      <c r="O61" s="3">
        <v>20</v>
      </c>
      <c r="P61" s="3">
        <v>40</v>
      </c>
      <c r="Q61" s="3">
        <v>40</v>
      </c>
      <c r="R61" s="5">
        <f>IFERROR(IF(_0_00_A_PAINEL_MASTER_V20_APOSTA_ROD[[#This Row],[Met]]="Back_Casa",1,2),0)</f>
        <v>1</v>
      </c>
      <c r="S61" s="3">
        <v>1.63</v>
      </c>
      <c r="T61" s="3">
        <v>1</v>
      </c>
      <c r="U61" s="3">
        <v>0.63</v>
      </c>
      <c r="V61" s="3">
        <v>3</v>
      </c>
      <c r="W61" s="3">
        <v>2</v>
      </c>
      <c r="X61" s="3">
        <v>1</v>
      </c>
      <c r="Y61" s="3"/>
      <c r="Z61" s="3"/>
      <c r="AA61" s="3"/>
      <c r="AB61" s="3"/>
      <c r="AI61" s="8">
        <v>2.2599999999999998</v>
      </c>
      <c r="AJ61" s="2">
        <v>1</v>
      </c>
      <c r="AK61" s="9">
        <v>2.2599999999999998</v>
      </c>
      <c r="AL61" s="2">
        <v>1.26</v>
      </c>
      <c r="BC61" s="8">
        <v>121</v>
      </c>
      <c r="BD61" s="2">
        <v>7.0099999999999989</v>
      </c>
    </row>
    <row r="62" spans="1:56" x14ac:dyDescent="0.25">
      <c r="A62">
        <f t="shared" si="2"/>
        <v>61</v>
      </c>
      <c r="B62" s="1">
        <v>46053</v>
      </c>
      <c r="C62" s="6">
        <v>0.60416666666666663</v>
      </c>
      <c r="D62" s="2" t="s">
        <v>31</v>
      </c>
      <c r="E62">
        <v>24</v>
      </c>
      <c r="F62" s="2" t="s">
        <v>133</v>
      </c>
      <c r="G62" s="2" t="s">
        <v>146</v>
      </c>
      <c r="H62" s="2" t="s">
        <v>102</v>
      </c>
      <c r="I62" s="2" t="s">
        <v>103</v>
      </c>
      <c r="J62" s="3">
        <v>0.4</v>
      </c>
      <c r="K62" s="3">
        <v>1.01</v>
      </c>
      <c r="L62" s="3">
        <v>18.18</v>
      </c>
      <c r="M62" s="3">
        <v>27.27</v>
      </c>
      <c r="N62" s="3">
        <v>54.55</v>
      </c>
      <c r="O62" s="3">
        <v>50</v>
      </c>
      <c r="P62" s="3">
        <v>25</v>
      </c>
      <c r="Q62" s="3">
        <v>25</v>
      </c>
      <c r="R62" s="5">
        <f>IFERROR(IF(_0_00_A_PAINEL_MASTER_V20_APOSTA_ROD[[#This Row],[Met]]="Back_Casa",1,2),0)</f>
        <v>2</v>
      </c>
      <c r="S62" s="3">
        <v>2.33</v>
      </c>
      <c r="T62" s="3">
        <v>1</v>
      </c>
      <c r="U62" s="3">
        <v>1.33</v>
      </c>
      <c r="V62" s="3">
        <v>0</v>
      </c>
      <c r="W62" s="3">
        <v>1</v>
      </c>
      <c r="X62" s="3">
        <v>2</v>
      </c>
      <c r="Y62" s="3"/>
      <c r="Z62" s="3"/>
      <c r="AA62" s="3"/>
      <c r="AB62" s="3"/>
      <c r="AI62" s="8">
        <v>1.65</v>
      </c>
      <c r="AJ62" s="2">
        <v>1</v>
      </c>
      <c r="AK62" s="9">
        <v>1.65</v>
      </c>
      <c r="AL62" s="2">
        <v>-1</v>
      </c>
      <c r="BC62" s="8">
        <v>122</v>
      </c>
      <c r="BD62" s="2">
        <v>7.6899999999999986</v>
      </c>
    </row>
    <row r="63" spans="1:56" x14ac:dyDescent="0.25">
      <c r="A63">
        <f t="shared" si="2"/>
        <v>62</v>
      </c>
      <c r="B63" s="1">
        <v>46053</v>
      </c>
      <c r="C63" s="6">
        <v>0.69791666666666663</v>
      </c>
      <c r="D63" s="2" t="s">
        <v>61</v>
      </c>
      <c r="E63">
        <v>23</v>
      </c>
      <c r="F63" s="2" t="s">
        <v>84</v>
      </c>
      <c r="G63" s="2" t="s">
        <v>166</v>
      </c>
      <c r="H63" s="2" t="s">
        <v>99</v>
      </c>
      <c r="I63" s="2" t="s">
        <v>100</v>
      </c>
      <c r="J63" s="3">
        <v>0.97</v>
      </c>
      <c r="K63" s="3">
        <v>0.68</v>
      </c>
      <c r="L63" s="3">
        <v>72.73</v>
      </c>
      <c r="M63" s="3">
        <v>9.09</v>
      </c>
      <c r="N63" s="3">
        <v>18.18</v>
      </c>
      <c r="O63" s="3">
        <v>36.36</v>
      </c>
      <c r="P63" s="3">
        <v>9.09</v>
      </c>
      <c r="Q63" s="3">
        <v>54.55</v>
      </c>
      <c r="R63" s="5">
        <f>IFERROR(IF(_0_00_A_PAINEL_MASTER_V20_APOSTA_ROD[[#This Row],[Met]]="Back_Casa",1,2),0)</f>
        <v>1</v>
      </c>
      <c r="S63" s="3">
        <v>2.15</v>
      </c>
      <c r="T63" s="3">
        <v>1</v>
      </c>
      <c r="U63" s="3">
        <v>-1</v>
      </c>
      <c r="V63" s="3">
        <v>0</v>
      </c>
      <c r="W63" s="3">
        <v>2</v>
      </c>
      <c r="X63" s="3">
        <v>2</v>
      </c>
      <c r="Y63" s="3"/>
      <c r="Z63" s="3"/>
      <c r="AA63" s="3"/>
      <c r="AB63" s="3"/>
      <c r="AI63" s="8">
        <v>1.92</v>
      </c>
      <c r="AJ63" s="2">
        <v>1</v>
      </c>
      <c r="AK63" s="9">
        <v>1.92</v>
      </c>
      <c r="AL63" s="2">
        <v>0.92</v>
      </c>
      <c r="BC63" s="8">
        <v>123</v>
      </c>
      <c r="BD63" s="2">
        <v>6.6899999999999986</v>
      </c>
    </row>
    <row r="64" spans="1:56" x14ac:dyDescent="0.25">
      <c r="A64">
        <f t="shared" si="2"/>
        <v>63</v>
      </c>
      <c r="B64" s="1">
        <v>46054</v>
      </c>
      <c r="C64" s="6">
        <v>0.39583333333333331</v>
      </c>
      <c r="D64" s="2" t="s">
        <v>53</v>
      </c>
      <c r="E64">
        <v>20</v>
      </c>
      <c r="F64" s="2" t="s">
        <v>115</v>
      </c>
      <c r="G64" s="2" t="s">
        <v>54</v>
      </c>
      <c r="H64" s="2" t="s">
        <v>102</v>
      </c>
      <c r="I64" s="2" t="s">
        <v>103</v>
      </c>
      <c r="J64" s="3">
        <v>0.57999999999999996</v>
      </c>
      <c r="K64" s="3">
        <v>0.9</v>
      </c>
      <c r="L64" s="3">
        <v>30</v>
      </c>
      <c r="M64" s="3">
        <v>20</v>
      </c>
      <c r="N64" s="3">
        <v>50</v>
      </c>
      <c r="O64" s="3">
        <v>55.56</v>
      </c>
      <c r="P64" s="3">
        <v>22.22</v>
      </c>
      <c r="Q64" s="3">
        <v>22.22</v>
      </c>
      <c r="R64" s="5">
        <f>IFERROR(IF(_0_00_A_PAINEL_MASTER_V20_APOSTA_ROD[[#This Row],[Met]]="Back_Casa",1,2),0)</f>
        <v>2</v>
      </c>
      <c r="S64" s="3">
        <v>2.5</v>
      </c>
      <c r="T64" s="3">
        <v>1</v>
      </c>
      <c r="U64" s="3">
        <v>-1</v>
      </c>
      <c r="V64" s="3">
        <v>2</v>
      </c>
      <c r="W64" s="3">
        <v>1</v>
      </c>
      <c r="X64" s="3">
        <v>1</v>
      </c>
      <c r="Y64" s="3"/>
      <c r="Z64" s="3"/>
      <c r="AA64" s="3"/>
      <c r="AB64" s="3"/>
      <c r="AI64" s="8">
        <v>2.4700000000000002</v>
      </c>
      <c r="AJ64" s="2">
        <v>1</v>
      </c>
      <c r="AK64" s="9">
        <v>2.4700000000000002</v>
      </c>
      <c r="AL64" s="2">
        <v>-1</v>
      </c>
      <c r="BC64" s="8">
        <v>124</v>
      </c>
      <c r="BD64" s="2">
        <v>5.6899999999999986</v>
      </c>
    </row>
    <row r="65" spans="1:56" x14ac:dyDescent="0.25">
      <c r="A65">
        <f t="shared" si="2"/>
        <v>64</v>
      </c>
      <c r="B65" s="1">
        <v>46054</v>
      </c>
      <c r="C65" s="6">
        <v>0.41666666666666669</v>
      </c>
      <c r="D65" s="2" t="s">
        <v>31</v>
      </c>
      <c r="E65">
        <v>24</v>
      </c>
      <c r="F65" s="2" t="s">
        <v>175</v>
      </c>
      <c r="G65" s="2" t="s">
        <v>34</v>
      </c>
      <c r="H65" s="2" t="s">
        <v>99</v>
      </c>
      <c r="I65" s="2" t="s">
        <v>100</v>
      </c>
      <c r="J65" s="3">
        <v>1.24</v>
      </c>
      <c r="K65" s="3">
        <v>0.53</v>
      </c>
      <c r="L65" s="3">
        <v>54.55</v>
      </c>
      <c r="M65" s="3">
        <v>18.18</v>
      </c>
      <c r="N65" s="3">
        <v>27.27</v>
      </c>
      <c r="O65" s="3">
        <v>18.18</v>
      </c>
      <c r="P65" s="3">
        <v>36.36</v>
      </c>
      <c r="Q65" s="3">
        <v>45.45</v>
      </c>
      <c r="R65" s="5">
        <f>IFERROR(IF(_0_00_A_PAINEL_MASTER_V20_APOSTA_ROD[[#This Row],[Met]]="Back_Casa",1,2),0)</f>
        <v>1</v>
      </c>
      <c r="S65" s="3">
        <v>1.8</v>
      </c>
      <c r="T65" s="3">
        <v>1</v>
      </c>
      <c r="U65" s="3">
        <v>0.8</v>
      </c>
      <c r="V65" s="3">
        <v>4</v>
      </c>
      <c r="W65" s="3">
        <v>2</v>
      </c>
      <c r="X65" s="3">
        <v>1</v>
      </c>
      <c r="Y65" s="3"/>
      <c r="Z65" s="3"/>
      <c r="AA65" s="3"/>
      <c r="AB65" s="3"/>
      <c r="AI65" s="8">
        <v>2.0099999999999998</v>
      </c>
      <c r="AJ65" s="2">
        <v>1</v>
      </c>
      <c r="AK65" s="9">
        <v>2.0099999999999998</v>
      </c>
      <c r="AL65" s="2">
        <v>1.01</v>
      </c>
      <c r="BC65" s="8">
        <v>125</v>
      </c>
      <c r="BD65" s="2">
        <v>4.6899999999999986</v>
      </c>
    </row>
    <row r="66" spans="1:56" x14ac:dyDescent="0.25">
      <c r="A66">
        <f t="shared" si="2"/>
        <v>65</v>
      </c>
      <c r="B66" s="1">
        <v>46054</v>
      </c>
      <c r="C66" s="6">
        <v>0.45833333333333331</v>
      </c>
      <c r="D66" s="2" t="s">
        <v>20</v>
      </c>
      <c r="E66">
        <v>24</v>
      </c>
      <c r="F66" s="2" t="s">
        <v>64</v>
      </c>
      <c r="G66" s="2" t="s">
        <v>157</v>
      </c>
      <c r="H66" s="2" t="s">
        <v>99</v>
      </c>
      <c r="I66" s="2" t="s">
        <v>100</v>
      </c>
      <c r="J66" s="3">
        <v>0.95</v>
      </c>
      <c r="K66" s="3">
        <v>0.62</v>
      </c>
      <c r="L66" s="3">
        <v>72.73</v>
      </c>
      <c r="M66" s="3">
        <v>9.09</v>
      </c>
      <c r="N66" s="3">
        <v>18.18</v>
      </c>
      <c r="O66" s="3">
        <v>27.27</v>
      </c>
      <c r="P66" s="3">
        <v>0</v>
      </c>
      <c r="Q66" s="3">
        <v>72.73</v>
      </c>
      <c r="R66" s="5">
        <f>IFERROR(IF(_0_00_A_PAINEL_MASTER_V20_APOSTA_ROD[[#This Row],[Met]]="Back_Casa",1,2),0)</f>
        <v>1</v>
      </c>
      <c r="S66" s="3">
        <v>2.33</v>
      </c>
      <c r="T66" s="3">
        <v>1</v>
      </c>
      <c r="U66" s="3">
        <v>-1</v>
      </c>
      <c r="V66" s="3">
        <v>0</v>
      </c>
      <c r="W66" s="3">
        <v>1</v>
      </c>
      <c r="X66" s="3">
        <v>2</v>
      </c>
      <c r="Y66" s="3"/>
      <c r="Z66" s="3"/>
      <c r="AA66" s="3"/>
      <c r="AB66" s="3"/>
      <c r="AI66" s="8">
        <v>2.73</v>
      </c>
      <c r="AJ66" s="2">
        <v>1</v>
      </c>
      <c r="AK66" s="9">
        <v>2.73</v>
      </c>
      <c r="AL66" s="2">
        <v>1.73</v>
      </c>
      <c r="BC66" s="8">
        <v>126</v>
      </c>
      <c r="BD66" s="2">
        <v>3.6899999999999986</v>
      </c>
    </row>
    <row r="67" spans="1:56" x14ac:dyDescent="0.25">
      <c r="A67">
        <f t="shared" si="2"/>
        <v>66</v>
      </c>
      <c r="B67" s="1">
        <v>46054</v>
      </c>
      <c r="C67" s="6">
        <v>0.47916666666666669</v>
      </c>
      <c r="D67" s="2" t="s">
        <v>42</v>
      </c>
      <c r="E67">
        <v>20</v>
      </c>
      <c r="F67" s="2" t="s">
        <v>176</v>
      </c>
      <c r="G67" s="2" t="s">
        <v>44</v>
      </c>
      <c r="H67" s="2" t="s">
        <v>99</v>
      </c>
      <c r="I67" s="2" t="s">
        <v>100</v>
      </c>
      <c r="J67" s="3">
        <v>0.91</v>
      </c>
      <c r="K67" s="3">
        <v>0.78</v>
      </c>
      <c r="L67" s="3">
        <v>66.67</v>
      </c>
      <c r="M67" s="3">
        <v>22.22</v>
      </c>
      <c r="N67" s="3">
        <v>11.11</v>
      </c>
      <c r="O67" s="3">
        <v>20</v>
      </c>
      <c r="P67" s="3">
        <v>30</v>
      </c>
      <c r="Q67" s="3">
        <v>50</v>
      </c>
      <c r="R67" s="5">
        <f>IFERROR(IF(_0_00_A_PAINEL_MASTER_V20_APOSTA_ROD[[#This Row],[Met]]="Back_Casa",1,2),0)</f>
        <v>1</v>
      </c>
      <c r="S67" s="3">
        <v>1.66</v>
      </c>
      <c r="T67" s="3">
        <v>1</v>
      </c>
      <c r="U67" s="3">
        <v>0.66</v>
      </c>
      <c r="V67" s="3">
        <v>1</v>
      </c>
      <c r="W67" s="3">
        <v>0</v>
      </c>
      <c r="X67" s="3">
        <v>1</v>
      </c>
      <c r="Y67" s="3"/>
      <c r="Z67" s="3"/>
      <c r="AA67" s="3"/>
      <c r="AB67" s="3"/>
      <c r="AI67" s="8">
        <v>2.67</v>
      </c>
      <c r="AJ67" s="2">
        <v>1</v>
      </c>
      <c r="AK67" s="9">
        <v>2.67</v>
      </c>
      <c r="AL67" s="2">
        <v>-1</v>
      </c>
      <c r="BC67" s="8">
        <v>127</v>
      </c>
      <c r="BD67" s="2">
        <v>2.6899999999999986</v>
      </c>
    </row>
    <row r="68" spans="1:56" x14ac:dyDescent="0.25">
      <c r="A68">
        <f t="shared" si="2"/>
        <v>67</v>
      </c>
      <c r="B68" s="1">
        <v>46054</v>
      </c>
      <c r="C68" s="6">
        <v>0.51041666666666663</v>
      </c>
      <c r="D68" s="2" t="s">
        <v>29</v>
      </c>
      <c r="E68">
        <v>22</v>
      </c>
      <c r="F68" s="2" t="s">
        <v>158</v>
      </c>
      <c r="G68" s="2" t="s">
        <v>159</v>
      </c>
      <c r="H68" s="2" t="s">
        <v>99</v>
      </c>
      <c r="I68" s="2" t="s">
        <v>100</v>
      </c>
      <c r="J68" s="3">
        <v>1.1299999999999999</v>
      </c>
      <c r="K68" s="3">
        <v>0.36</v>
      </c>
      <c r="L68" s="3">
        <v>60</v>
      </c>
      <c r="M68" s="3">
        <v>10</v>
      </c>
      <c r="N68" s="3">
        <v>30</v>
      </c>
      <c r="O68" s="3">
        <v>10</v>
      </c>
      <c r="P68" s="3">
        <v>30</v>
      </c>
      <c r="Q68" s="3">
        <v>60</v>
      </c>
      <c r="R68" s="5">
        <f>IFERROR(IF(_0_00_A_PAINEL_MASTER_V20_APOSTA_ROD[[#This Row],[Met]]="Back_Casa",1,2),0)</f>
        <v>1</v>
      </c>
      <c r="S68" s="3">
        <v>1.86</v>
      </c>
      <c r="T68" s="3">
        <v>1</v>
      </c>
      <c r="U68" s="3">
        <v>0.86</v>
      </c>
      <c r="V68" s="3">
        <v>2</v>
      </c>
      <c r="W68" s="3">
        <v>1</v>
      </c>
      <c r="X68" s="3">
        <v>1</v>
      </c>
      <c r="Y68" s="3"/>
      <c r="Z68" s="3"/>
      <c r="AA68" s="3"/>
      <c r="AB68" s="3"/>
      <c r="AI68" s="8">
        <v>1.75</v>
      </c>
      <c r="AJ68" s="2">
        <v>2</v>
      </c>
      <c r="AK68" s="9">
        <v>1.75</v>
      </c>
      <c r="AL68" s="2">
        <v>-0.25</v>
      </c>
      <c r="BC68" s="8">
        <v>128</v>
      </c>
      <c r="BD68" s="2">
        <v>3.6699999999999986</v>
      </c>
    </row>
    <row r="69" spans="1:56" x14ac:dyDescent="0.25">
      <c r="A69">
        <f t="shared" si="2"/>
        <v>68</v>
      </c>
      <c r="B69" s="1">
        <v>46054</v>
      </c>
      <c r="C69" s="6">
        <v>0.60416666666666663</v>
      </c>
      <c r="D69" s="2" t="s">
        <v>31</v>
      </c>
      <c r="E69">
        <v>24</v>
      </c>
      <c r="F69" s="2" t="s">
        <v>138</v>
      </c>
      <c r="G69" s="2" t="s">
        <v>174</v>
      </c>
      <c r="H69" s="2" t="s">
        <v>99</v>
      </c>
      <c r="I69" s="2" t="s">
        <v>100</v>
      </c>
      <c r="J69" s="3">
        <v>1.18</v>
      </c>
      <c r="K69" s="3">
        <v>0.64</v>
      </c>
      <c r="L69" s="3">
        <v>63.64</v>
      </c>
      <c r="M69" s="3">
        <v>18.18</v>
      </c>
      <c r="N69" s="3">
        <v>18.18</v>
      </c>
      <c r="O69" s="3">
        <v>33.33</v>
      </c>
      <c r="P69" s="3">
        <v>25</v>
      </c>
      <c r="Q69" s="3">
        <v>41.67</v>
      </c>
      <c r="R69" s="5">
        <f>IFERROR(IF(_0_00_A_PAINEL_MASTER_V20_APOSTA_ROD[[#This Row],[Met]]="Back_Casa",1,2),0)</f>
        <v>1</v>
      </c>
      <c r="S69" s="3">
        <v>1.47</v>
      </c>
      <c r="T69" s="3">
        <v>1</v>
      </c>
      <c r="U69" s="3">
        <v>0.47</v>
      </c>
      <c r="V69" s="3">
        <v>2</v>
      </c>
      <c r="W69" s="3">
        <v>0</v>
      </c>
      <c r="X69" s="3">
        <v>1</v>
      </c>
      <c r="Y69" s="3"/>
      <c r="Z69" s="3"/>
      <c r="AA69" s="3"/>
      <c r="AB69" s="3"/>
      <c r="AI69" s="8">
        <v>2.16</v>
      </c>
      <c r="AJ69" s="2">
        <v>1</v>
      </c>
      <c r="AK69" s="9">
        <v>2.16</v>
      </c>
      <c r="AL69" s="2">
        <v>-1</v>
      </c>
      <c r="BC69" s="8">
        <v>129</v>
      </c>
      <c r="BD69" s="2">
        <v>2.6699999999999986</v>
      </c>
    </row>
    <row r="70" spans="1:56" x14ac:dyDescent="0.25">
      <c r="A70">
        <f t="shared" si="2"/>
        <v>69</v>
      </c>
      <c r="B70" s="1">
        <v>46054</v>
      </c>
      <c r="C70" s="6">
        <v>0.70833333333333337</v>
      </c>
      <c r="D70" s="2" t="s">
        <v>29</v>
      </c>
      <c r="E70">
        <v>22</v>
      </c>
      <c r="F70" s="2" t="s">
        <v>177</v>
      </c>
      <c r="G70" s="2" t="s">
        <v>72</v>
      </c>
      <c r="H70" s="2" t="s">
        <v>99</v>
      </c>
      <c r="I70" s="2" t="s">
        <v>100</v>
      </c>
      <c r="J70" s="3">
        <v>0.47</v>
      </c>
      <c r="K70" s="3">
        <v>0.57999999999999996</v>
      </c>
      <c r="L70" s="3">
        <v>50</v>
      </c>
      <c r="M70" s="3">
        <v>10</v>
      </c>
      <c r="N70" s="3">
        <v>40</v>
      </c>
      <c r="O70" s="3">
        <v>20</v>
      </c>
      <c r="P70" s="3">
        <v>40</v>
      </c>
      <c r="Q70" s="3">
        <v>40</v>
      </c>
      <c r="R70" s="5">
        <f>IFERROR(IF(_0_00_A_PAINEL_MASTER_V20_APOSTA_ROD[[#This Row],[Met]]="Back_Casa",1,2),0)</f>
        <v>1</v>
      </c>
      <c r="S70" s="3">
        <v>2.2000000000000002</v>
      </c>
      <c r="T70" s="3">
        <v>1</v>
      </c>
      <c r="U70" s="3">
        <v>-1</v>
      </c>
      <c r="V70" s="3">
        <v>1</v>
      </c>
      <c r="W70" s="3">
        <v>1</v>
      </c>
      <c r="X70" s="3">
        <v>0</v>
      </c>
      <c r="Y70" s="3"/>
      <c r="Z70" s="3"/>
      <c r="AA70" s="3"/>
      <c r="AB70" s="3"/>
      <c r="AI70" s="8">
        <v>2.2799999999999998</v>
      </c>
      <c r="AJ70" s="2">
        <v>1</v>
      </c>
      <c r="AK70" s="9">
        <v>2.2799999999999998</v>
      </c>
      <c r="AL70" s="2">
        <v>1.28</v>
      </c>
      <c r="BC70" s="8">
        <v>130</v>
      </c>
      <c r="BD70" s="2">
        <v>3.9299999999999988</v>
      </c>
    </row>
    <row r="71" spans="1:56" x14ac:dyDescent="0.25">
      <c r="A71">
        <f t="shared" si="2"/>
        <v>70</v>
      </c>
      <c r="B71" s="1">
        <v>46060</v>
      </c>
      <c r="C71" s="6">
        <v>0.41666666666666669</v>
      </c>
      <c r="D71" s="2" t="s">
        <v>50</v>
      </c>
      <c r="E71">
        <v>23</v>
      </c>
      <c r="F71" s="2" t="s">
        <v>189</v>
      </c>
      <c r="G71" s="2" t="s">
        <v>190</v>
      </c>
      <c r="H71" s="2" t="s">
        <v>99</v>
      </c>
      <c r="I71" s="2" t="s">
        <v>100</v>
      </c>
      <c r="J71" s="3">
        <v>1.21</v>
      </c>
      <c r="K71" s="3">
        <v>0.44</v>
      </c>
      <c r="L71" s="3">
        <v>60</v>
      </c>
      <c r="M71" s="3">
        <v>10</v>
      </c>
      <c r="N71" s="3">
        <v>30</v>
      </c>
      <c r="O71" s="3">
        <v>9.09</v>
      </c>
      <c r="P71" s="3">
        <v>0</v>
      </c>
      <c r="Q71" s="3">
        <v>90.91</v>
      </c>
      <c r="R71" s="5">
        <f>IFERROR(IF(_0_00_A_PAINEL_MASTER_V20_APOSTA_ROD[[#This Row],[Met]]="Back_Casa",1,2),0)</f>
        <v>1</v>
      </c>
      <c r="S71" s="3">
        <v>1.53</v>
      </c>
      <c r="T71" s="3">
        <v>1</v>
      </c>
      <c r="U71" s="3">
        <v>0.53</v>
      </c>
      <c r="V71" s="3">
        <v>2</v>
      </c>
      <c r="W71" s="3">
        <v>0</v>
      </c>
      <c r="X71" s="3">
        <v>1</v>
      </c>
      <c r="Y71" s="3"/>
      <c r="Z71" s="3"/>
      <c r="AA71" s="3"/>
      <c r="AB71" s="3"/>
      <c r="AI71" s="8">
        <v>2.68</v>
      </c>
      <c r="AJ71" s="2">
        <v>1</v>
      </c>
      <c r="AK71" s="9">
        <v>2.68</v>
      </c>
      <c r="AL71" s="2">
        <v>1.68</v>
      </c>
      <c r="BC71" s="8">
        <v>131</v>
      </c>
      <c r="BD71" s="2">
        <v>2.9299999999999988</v>
      </c>
    </row>
    <row r="72" spans="1:56" x14ac:dyDescent="0.25">
      <c r="A72">
        <f t="shared" si="2"/>
        <v>71</v>
      </c>
      <c r="B72" s="1">
        <v>46060</v>
      </c>
      <c r="C72" s="6">
        <v>0.41666666666666669</v>
      </c>
      <c r="D72" s="2" t="s">
        <v>154</v>
      </c>
      <c r="E72">
        <v>22</v>
      </c>
      <c r="F72" s="2" t="s">
        <v>185</v>
      </c>
      <c r="G72" s="2" t="s">
        <v>186</v>
      </c>
      <c r="H72" s="2" t="s">
        <v>99</v>
      </c>
      <c r="I72" s="2" t="s">
        <v>100</v>
      </c>
      <c r="J72" s="3">
        <v>0.43</v>
      </c>
      <c r="K72" s="3">
        <v>0.42</v>
      </c>
      <c r="L72" s="3">
        <v>54.55</v>
      </c>
      <c r="M72" s="3">
        <v>27.27</v>
      </c>
      <c r="N72" s="3">
        <v>18.18</v>
      </c>
      <c r="O72" s="3">
        <v>27.27</v>
      </c>
      <c r="P72" s="3">
        <v>36.36</v>
      </c>
      <c r="Q72" s="3">
        <v>36.36</v>
      </c>
      <c r="R72" s="5">
        <f>IFERROR(IF(_0_00_A_PAINEL_MASTER_V20_APOSTA_ROD[[#This Row],[Met]]="Back_Casa",1,2),0)</f>
        <v>1</v>
      </c>
      <c r="S72" s="3">
        <v>1.91</v>
      </c>
      <c r="T72" s="3">
        <v>1</v>
      </c>
      <c r="U72" s="3">
        <v>-1</v>
      </c>
      <c r="V72" s="3">
        <v>1</v>
      </c>
      <c r="W72" s="3">
        <v>1</v>
      </c>
      <c r="X72" s="3">
        <v>0</v>
      </c>
      <c r="Y72" s="3"/>
      <c r="Z72" s="3"/>
      <c r="AA72" s="3"/>
      <c r="AB72" s="3"/>
      <c r="AI72" s="8">
        <v>1.43</v>
      </c>
      <c r="AJ72" s="2">
        <v>2</v>
      </c>
      <c r="AK72" s="9">
        <v>1.43</v>
      </c>
      <c r="AL72" s="2">
        <v>0.86</v>
      </c>
      <c r="BC72" s="8">
        <v>132</v>
      </c>
      <c r="BD72" s="2">
        <v>3.8499999999999988</v>
      </c>
    </row>
    <row r="73" spans="1:56" x14ac:dyDescent="0.25">
      <c r="A73">
        <f t="shared" si="2"/>
        <v>72</v>
      </c>
      <c r="B73" s="1">
        <v>46060</v>
      </c>
      <c r="C73" s="6">
        <v>0.45833333333333331</v>
      </c>
      <c r="D73" s="2" t="s">
        <v>63</v>
      </c>
      <c r="E73">
        <v>23</v>
      </c>
      <c r="F73" s="2" t="s">
        <v>187</v>
      </c>
      <c r="G73" s="2" t="s">
        <v>86</v>
      </c>
      <c r="H73" s="2" t="s">
        <v>99</v>
      </c>
      <c r="I73" s="2" t="s">
        <v>100</v>
      </c>
      <c r="J73" s="3">
        <v>0.73</v>
      </c>
      <c r="K73" s="3">
        <v>0.33</v>
      </c>
      <c r="L73" s="3">
        <v>45.45</v>
      </c>
      <c r="M73" s="3">
        <v>27.27</v>
      </c>
      <c r="N73" s="3">
        <v>27.27</v>
      </c>
      <c r="O73" s="3">
        <v>0</v>
      </c>
      <c r="P73" s="3">
        <v>36.36</v>
      </c>
      <c r="Q73" s="3">
        <v>63.64</v>
      </c>
      <c r="R73" s="5">
        <f>IFERROR(IF(_0_00_A_PAINEL_MASTER_V20_APOSTA_ROD[[#This Row],[Met]]="Back_Casa",1,2),0)</f>
        <v>1</v>
      </c>
      <c r="S73" s="3">
        <v>1.81</v>
      </c>
      <c r="T73" s="3">
        <v>1</v>
      </c>
      <c r="U73" s="3">
        <v>-1</v>
      </c>
      <c r="V73" s="3">
        <v>1</v>
      </c>
      <c r="W73" s="3">
        <v>2</v>
      </c>
      <c r="X73" s="3">
        <v>2</v>
      </c>
      <c r="Y73" s="3"/>
      <c r="Z73" s="3"/>
      <c r="AA73" s="3"/>
      <c r="AB73" s="3"/>
      <c r="AI73" s="8" t="s">
        <v>204</v>
      </c>
      <c r="AJ73" s="2">
        <v>92</v>
      </c>
      <c r="AK73" s="9">
        <v>1.9076923076923076</v>
      </c>
      <c r="AL73" s="2">
        <v>6.6499999999999995</v>
      </c>
      <c r="BC73" s="8">
        <v>133</v>
      </c>
      <c r="BD73" s="2">
        <v>4.9299999999999988</v>
      </c>
    </row>
    <row r="74" spans="1:56" x14ac:dyDescent="0.25">
      <c r="A74">
        <f t="shared" si="2"/>
        <v>73</v>
      </c>
      <c r="B74" s="1">
        <v>46060</v>
      </c>
      <c r="C74" s="6">
        <v>0.47916666666666669</v>
      </c>
      <c r="D74" s="2" t="s">
        <v>42</v>
      </c>
      <c r="E74">
        <v>21</v>
      </c>
      <c r="F74" s="2" t="s">
        <v>44</v>
      </c>
      <c r="G74" s="2" t="s">
        <v>128</v>
      </c>
      <c r="H74" s="2" t="s">
        <v>99</v>
      </c>
      <c r="I74" s="2" t="s">
        <v>100</v>
      </c>
      <c r="J74" s="3">
        <v>1.2</v>
      </c>
      <c r="K74" s="3">
        <v>0.65</v>
      </c>
      <c r="L74" s="3">
        <v>55.56</v>
      </c>
      <c r="M74" s="3">
        <v>33.33</v>
      </c>
      <c r="N74" s="3">
        <v>11.11</v>
      </c>
      <c r="O74" s="3">
        <v>10</v>
      </c>
      <c r="P74" s="3">
        <v>30</v>
      </c>
      <c r="Q74" s="3">
        <v>60</v>
      </c>
      <c r="R74" s="5">
        <f>IFERROR(IF(_0_00_A_PAINEL_MASTER_V20_APOSTA_ROD[[#This Row],[Met]]="Back_Casa",1,2),0)</f>
        <v>1</v>
      </c>
      <c r="S74" s="3">
        <v>2.17</v>
      </c>
      <c r="T74" s="3">
        <v>1</v>
      </c>
      <c r="U74" s="3">
        <v>1.17</v>
      </c>
      <c r="V74" s="3">
        <v>1</v>
      </c>
      <c r="W74" s="3">
        <v>0</v>
      </c>
      <c r="X74" s="3">
        <v>1</v>
      </c>
      <c r="Y74" s="3"/>
      <c r="Z74" s="3"/>
      <c r="AA74" s="3"/>
      <c r="AB74" s="3"/>
      <c r="BC74" s="8">
        <v>134</v>
      </c>
      <c r="BD74" s="2">
        <v>3.9299999999999988</v>
      </c>
    </row>
    <row r="75" spans="1:56" x14ac:dyDescent="0.25">
      <c r="A75">
        <f t="shared" si="2"/>
        <v>74</v>
      </c>
      <c r="B75" s="1">
        <v>46060</v>
      </c>
      <c r="C75" s="6">
        <v>0.50069444444444444</v>
      </c>
      <c r="D75" s="2" t="s">
        <v>27</v>
      </c>
      <c r="E75">
        <v>31</v>
      </c>
      <c r="F75" s="2" t="s">
        <v>70</v>
      </c>
      <c r="G75" s="2" t="s">
        <v>152</v>
      </c>
      <c r="H75" s="2" t="s">
        <v>99</v>
      </c>
      <c r="I75" s="2" t="s">
        <v>100</v>
      </c>
      <c r="J75" s="3">
        <v>0.96</v>
      </c>
      <c r="K75" s="3">
        <v>0.42</v>
      </c>
      <c r="L75" s="3">
        <v>53.33</v>
      </c>
      <c r="M75" s="3">
        <v>20</v>
      </c>
      <c r="N75" s="3">
        <v>26.67</v>
      </c>
      <c r="O75" s="3">
        <v>20</v>
      </c>
      <c r="P75" s="3">
        <v>20</v>
      </c>
      <c r="Q75" s="3">
        <v>60</v>
      </c>
      <c r="R75" s="5">
        <f>IFERROR(IF(_0_00_A_PAINEL_MASTER_V20_APOSTA_ROD[[#This Row],[Met]]="Back_Casa",1,2),0)</f>
        <v>1</v>
      </c>
      <c r="S75" s="3">
        <v>2.17</v>
      </c>
      <c r="T75" s="3">
        <v>1</v>
      </c>
      <c r="U75" s="3">
        <v>1.17</v>
      </c>
      <c r="V75" s="3">
        <v>4</v>
      </c>
      <c r="W75" s="3">
        <v>0</v>
      </c>
      <c r="X75" s="3">
        <v>1</v>
      </c>
      <c r="Y75" s="3"/>
      <c r="Z75" s="3"/>
      <c r="AA75" s="3"/>
      <c r="AB75" s="3"/>
      <c r="BC75" s="8">
        <v>135</v>
      </c>
      <c r="BD75" s="2">
        <v>4.9399999999999986</v>
      </c>
    </row>
    <row r="76" spans="1:56" x14ac:dyDescent="0.25">
      <c r="A76">
        <f t="shared" si="2"/>
        <v>75</v>
      </c>
      <c r="B76" s="1">
        <v>46060</v>
      </c>
      <c r="C76" s="6">
        <v>0.50069444444444444</v>
      </c>
      <c r="D76" s="2" t="s">
        <v>27</v>
      </c>
      <c r="E76">
        <v>31</v>
      </c>
      <c r="F76" s="2" t="s">
        <v>188</v>
      </c>
      <c r="G76" s="2" t="s">
        <v>150</v>
      </c>
      <c r="H76" s="2" t="s">
        <v>99</v>
      </c>
      <c r="I76" s="2" t="s">
        <v>100</v>
      </c>
      <c r="J76" s="3">
        <v>1.05</v>
      </c>
      <c r="K76" s="3">
        <v>0.44</v>
      </c>
      <c r="L76" s="3">
        <v>60</v>
      </c>
      <c r="M76" s="3">
        <v>26.67</v>
      </c>
      <c r="N76" s="3">
        <v>13.33</v>
      </c>
      <c r="O76" s="3">
        <v>21.43</v>
      </c>
      <c r="P76" s="3">
        <v>7.14</v>
      </c>
      <c r="Q76" s="3">
        <v>71.430000000000007</v>
      </c>
      <c r="R76" s="5">
        <f>IFERROR(IF(_0_00_A_PAINEL_MASTER_V20_APOSTA_ROD[[#This Row],[Met]]="Back_Casa",1,2),0)</f>
        <v>1</v>
      </c>
      <c r="S76" s="3">
        <v>1.69</v>
      </c>
      <c r="T76" s="3">
        <v>1</v>
      </c>
      <c r="U76" s="3">
        <v>-1</v>
      </c>
      <c r="V76" s="3">
        <v>2</v>
      </c>
      <c r="W76" s="3">
        <v>2</v>
      </c>
      <c r="X76" s="3">
        <v>0</v>
      </c>
      <c r="Y76" s="3"/>
      <c r="Z76" s="3"/>
      <c r="AA76" s="3"/>
      <c r="AB76" s="3"/>
      <c r="BC76" s="8">
        <v>136</v>
      </c>
      <c r="BD76" s="2">
        <v>5.6599999999999984</v>
      </c>
    </row>
    <row r="77" spans="1:56" x14ac:dyDescent="0.25">
      <c r="A77">
        <f t="shared" si="2"/>
        <v>76</v>
      </c>
      <c r="B77" s="1">
        <v>46060</v>
      </c>
      <c r="C77" s="6">
        <v>0.50069444444444444</v>
      </c>
      <c r="D77" s="2" t="s">
        <v>27</v>
      </c>
      <c r="E77">
        <v>31</v>
      </c>
      <c r="F77" s="2" t="s">
        <v>171</v>
      </c>
      <c r="G77" s="2" t="s">
        <v>28</v>
      </c>
      <c r="H77" s="2" t="s">
        <v>99</v>
      </c>
      <c r="I77" s="2" t="s">
        <v>100</v>
      </c>
      <c r="J77" s="3">
        <v>0.81</v>
      </c>
      <c r="K77" s="3">
        <v>0.66</v>
      </c>
      <c r="L77" s="3">
        <v>53.33</v>
      </c>
      <c r="M77" s="3">
        <v>20</v>
      </c>
      <c r="N77" s="3">
        <v>26.67</v>
      </c>
      <c r="O77" s="3">
        <v>20</v>
      </c>
      <c r="P77" s="3">
        <v>6.67</v>
      </c>
      <c r="Q77" s="3">
        <v>73.33</v>
      </c>
      <c r="R77" s="5">
        <f>IFERROR(IF(_0_00_A_PAINEL_MASTER_V20_APOSTA_ROD[[#This Row],[Met]]="Back_Casa",1,2),0)</f>
        <v>1</v>
      </c>
      <c r="S77" s="3">
        <v>1.61</v>
      </c>
      <c r="T77" s="3">
        <v>1</v>
      </c>
      <c r="U77" s="3">
        <v>-1</v>
      </c>
      <c r="V77" s="3">
        <v>0</v>
      </c>
      <c r="W77" s="3">
        <v>0</v>
      </c>
      <c r="X77" s="3">
        <v>0</v>
      </c>
      <c r="Y77" s="3"/>
      <c r="Z77" s="3"/>
      <c r="AA77" s="3"/>
      <c r="AB77" s="3"/>
      <c r="BC77" s="8">
        <v>137</v>
      </c>
      <c r="BD77" s="2">
        <v>4.6599999999999984</v>
      </c>
    </row>
    <row r="78" spans="1:56" x14ac:dyDescent="0.25">
      <c r="A78">
        <f t="shared" si="2"/>
        <v>77</v>
      </c>
      <c r="B78" s="1">
        <v>46060</v>
      </c>
      <c r="C78" s="6">
        <v>0.51041666666666663</v>
      </c>
      <c r="D78" s="2" t="s">
        <v>31</v>
      </c>
      <c r="E78">
        <v>25</v>
      </c>
      <c r="F78" s="2" t="s">
        <v>182</v>
      </c>
      <c r="G78" s="2" t="s">
        <v>183</v>
      </c>
      <c r="H78" s="2" t="s">
        <v>99</v>
      </c>
      <c r="I78" s="2" t="s">
        <v>100</v>
      </c>
      <c r="J78" s="3">
        <v>0.75</v>
      </c>
      <c r="K78" s="3">
        <v>0.57999999999999996</v>
      </c>
      <c r="L78" s="3">
        <v>50</v>
      </c>
      <c r="M78" s="3">
        <v>25</v>
      </c>
      <c r="N78" s="3">
        <v>25</v>
      </c>
      <c r="O78" s="3">
        <v>45.45</v>
      </c>
      <c r="P78" s="3">
        <v>9.09</v>
      </c>
      <c r="Q78" s="3">
        <v>45.45</v>
      </c>
      <c r="R78" s="5">
        <f>IFERROR(IF(_0_00_A_PAINEL_MASTER_V20_APOSTA_ROD[[#This Row],[Met]]="Back_Casa",1,2),0)</f>
        <v>1</v>
      </c>
      <c r="S78" s="3">
        <v>1.94</v>
      </c>
      <c r="T78" s="3">
        <v>1</v>
      </c>
      <c r="U78" s="3">
        <v>-1</v>
      </c>
      <c r="V78" s="3">
        <v>0</v>
      </c>
      <c r="W78" s="3">
        <v>0</v>
      </c>
      <c r="X78" s="3">
        <v>0</v>
      </c>
      <c r="Y78" s="3"/>
      <c r="Z78" s="3"/>
      <c r="AA78" s="3"/>
      <c r="AB78" s="3"/>
      <c r="BC78" s="8">
        <v>138</v>
      </c>
      <c r="BD78" s="2">
        <v>6.3899999999999988</v>
      </c>
    </row>
    <row r="79" spans="1:56" x14ac:dyDescent="0.25">
      <c r="A79">
        <f t="shared" si="2"/>
        <v>78</v>
      </c>
      <c r="B79" s="1">
        <v>46060</v>
      </c>
      <c r="C79" s="6">
        <v>0.55208333333333337</v>
      </c>
      <c r="D79" s="2" t="s">
        <v>63</v>
      </c>
      <c r="E79">
        <v>23</v>
      </c>
      <c r="F79" s="2" t="s">
        <v>191</v>
      </c>
      <c r="G79" s="2" t="s">
        <v>192</v>
      </c>
      <c r="H79" s="2" t="s">
        <v>99</v>
      </c>
      <c r="I79" s="2" t="s">
        <v>100</v>
      </c>
      <c r="J79" s="3">
        <v>0.87</v>
      </c>
      <c r="K79" s="3">
        <v>0.48</v>
      </c>
      <c r="L79" s="3">
        <v>63.64</v>
      </c>
      <c r="M79" s="3">
        <v>27.27</v>
      </c>
      <c r="N79" s="3">
        <v>9.09</v>
      </c>
      <c r="O79" s="3">
        <v>40</v>
      </c>
      <c r="P79" s="3">
        <v>0</v>
      </c>
      <c r="Q79" s="3">
        <v>60</v>
      </c>
      <c r="R79" s="5">
        <f>IFERROR(IF(_0_00_A_PAINEL_MASTER_V20_APOSTA_ROD[[#This Row],[Met]]="Back_Casa",1,2),0)</f>
        <v>1</v>
      </c>
      <c r="S79" s="3">
        <v>1.69</v>
      </c>
      <c r="T79" s="3">
        <v>1</v>
      </c>
      <c r="U79" s="3">
        <v>0.69</v>
      </c>
      <c r="V79" s="3">
        <v>3</v>
      </c>
      <c r="W79" s="3">
        <v>2</v>
      </c>
      <c r="X79" s="3">
        <v>1</v>
      </c>
      <c r="Y79" s="3"/>
      <c r="Z79" s="3"/>
      <c r="AA79" s="3"/>
      <c r="AB79" s="3"/>
      <c r="BC79" s="8">
        <v>139</v>
      </c>
      <c r="BD79" s="2">
        <v>5.3899999999999988</v>
      </c>
    </row>
    <row r="80" spans="1:56" x14ac:dyDescent="0.25">
      <c r="A80">
        <f t="shared" si="2"/>
        <v>79</v>
      </c>
      <c r="B80" s="1">
        <v>46060</v>
      </c>
      <c r="C80" s="6">
        <v>0.60416666666666663</v>
      </c>
      <c r="D80" s="2" t="s">
        <v>20</v>
      </c>
      <c r="E80">
        <v>25</v>
      </c>
      <c r="F80" s="2" t="s">
        <v>184</v>
      </c>
      <c r="G80" s="2" t="s">
        <v>157</v>
      </c>
      <c r="H80" s="2" t="s">
        <v>99</v>
      </c>
      <c r="I80" s="2" t="s">
        <v>100</v>
      </c>
      <c r="J80" s="3">
        <v>1.06</v>
      </c>
      <c r="K80" s="3">
        <v>0.62</v>
      </c>
      <c r="L80" s="3">
        <v>58.33</v>
      </c>
      <c r="M80" s="3">
        <v>16.670000000000002</v>
      </c>
      <c r="N80" s="3">
        <v>25</v>
      </c>
      <c r="O80" s="3">
        <v>33.33</v>
      </c>
      <c r="P80" s="3">
        <v>0</v>
      </c>
      <c r="Q80" s="3">
        <v>66.67</v>
      </c>
      <c r="R80" s="5">
        <f>IFERROR(IF(_0_00_A_PAINEL_MASTER_V20_APOSTA_ROD[[#This Row],[Met]]="Back_Casa",1,2),0)</f>
        <v>1</v>
      </c>
      <c r="S80" s="3">
        <v>2.0699999999999998</v>
      </c>
      <c r="T80" s="3">
        <v>1</v>
      </c>
      <c r="U80" s="3">
        <v>-1</v>
      </c>
      <c r="V80" s="3">
        <v>2</v>
      </c>
      <c r="W80" s="3">
        <v>3</v>
      </c>
      <c r="X80" s="3">
        <v>2</v>
      </c>
      <c r="Y80" s="3"/>
      <c r="Z80" s="3"/>
      <c r="AA80" s="3"/>
      <c r="AB80" s="3"/>
      <c r="BC80" s="8">
        <v>140</v>
      </c>
      <c r="BD80" s="2">
        <v>4.3899999999999988</v>
      </c>
    </row>
    <row r="81" spans="1:56" x14ac:dyDescent="0.25">
      <c r="A81">
        <f t="shared" si="2"/>
        <v>80</v>
      </c>
      <c r="B81" s="1">
        <v>46061</v>
      </c>
      <c r="C81" s="6">
        <v>0.45833333333333331</v>
      </c>
      <c r="D81" s="2" t="s">
        <v>63</v>
      </c>
      <c r="E81">
        <v>23</v>
      </c>
      <c r="F81" s="2" t="s">
        <v>118</v>
      </c>
      <c r="G81" s="2" t="s">
        <v>162</v>
      </c>
      <c r="H81" s="2" t="s">
        <v>99</v>
      </c>
      <c r="I81" s="2" t="s">
        <v>100</v>
      </c>
      <c r="J81" s="3">
        <v>0.88</v>
      </c>
      <c r="K81" s="3">
        <v>0.47</v>
      </c>
      <c r="L81" s="3">
        <v>72.73</v>
      </c>
      <c r="M81" s="3">
        <v>18.18</v>
      </c>
      <c r="N81" s="3">
        <v>9.09</v>
      </c>
      <c r="O81" s="3">
        <v>18.18</v>
      </c>
      <c r="P81" s="3">
        <v>36.36</v>
      </c>
      <c r="Q81" s="3">
        <v>45.45</v>
      </c>
      <c r="R81" s="5">
        <f>IFERROR(IF(_0_00_A_PAINEL_MASTER_V20_APOSTA_ROD[[#This Row],[Met]]="Back_Casa",1,2),0)</f>
        <v>1</v>
      </c>
      <c r="S81" s="3">
        <v>1.5</v>
      </c>
      <c r="T81" s="3">
        <v>1</v>
      </c>
      <c r="U81" s="3">
        <v>0.5</v>
      </c>
      <c r="V81" s="3">
        <v>2</v>
      </c>
      <c r="W81" s="3">
        <v>1</v>
      </c>
      <c r="X81" s="3">
        <v>1</v>
      </c>
      <c r="Y81" s="3"/>
      <c r="Z81" s="3"/>
      <c r="AA81" s="3"/>
      <c r="AB81" s="3"/>
      <c r="BC81" s="8">
        <v>141</v>
      </c>
      <c r="BD81" s="2">
        <v>5.169999999999999</v>
      </c>
    </row>
    <row r="82" spans="1:56" x14ac:dyDescent="0.25">
      <c r="A82">
        <f t="shared" si="2"/>
        <v>81</v>
      </c>
      <c r="B82" s="1">
        <v>46061</v>
      </c>
      <c r="C82" s="6">
        <v>0.51041666666666663</v>
      </c>
      <c r="D82" s="2" t="s">
        <v>29</v>
      </c>
      <c r="E82">
        <v>23</v>
      </c>
      <c r="F82" s="2" t="s">
        <v>177</v>
      </c>
      <c r="G82" s="2" t="s">
        <v>195</v>
      </c>
      <c r="H82" s="2" t="s">
        <v>99</v>
      </c>
      <c r="I82" s="2" t="s">
        <v>100</v>
      </c>
      <c r="J82" s="3">
        <v>0.47</v>
      </c>
      <c r="K82" s="3">
        <v>0.65</v>
      </c>
      <c r="L82" s="3">
        <v>45.45</v>
      </c>
      <c r="M82" s="3">
        <v>18.18</v>
      </c>
      <c r="N82" s="3">
        <v>36.36</v>
      </c>
      <c r="O82" s="3">
        <v>27.27</v>
      </c>
      <c r="P82" s="3">
        <v>18.18</v>
      </c>
      <c r="Q82" s="3">
        <v>54.55</v>
      </c>
      <c r="R82" s="5">
        <f>IFERROR(IF(_0_00_A_PAINEL_MASTER_V20_APOSTA_ROD[[#This Row],[Met]]="Back_Casa",1,2),0)</f>
        <v>1</v>
      </c>
      <c r="S82" s="3">
        <v>1.6</v>
      </c>
      <c r="T82" s="3">
        <v>1</v>
      </c>
      <c r="U82" s="3">
        <v>0.6</v>
      </c>
      <c r="V82" s="3">
        <v>4</v>
      </c>
      <c r="W82" s="3">
        <v>2</v>
      </c>
      <c r="X82" s="3">
        <v>1</v>
      </c>
      <c r="Y82" s="3"/>
      <c r="Z82" s="3"/>
      <c r="AA82" s="3"/>
      <c r="AB82" s="3"/>
      <c r="BC82" s="8">
        <v>142</v>
      </c>
      <c r="BD82" s="2">
        <v>4.169999999999999</v>
      </c>
    </row>
    <row r="83" spans="1:56" x14ac:dyDescent="0.25">
      <c r="A83">
        <f t="shared" si="2"/>
        <v>82</v>
      </c>
      <c r="B83" s="1">
        <v>46061</v>
      </c>
      <c r="C83" s="6">
        <v>0.60416666666666663</v>
      </c>
      <c r="D83" s="2" t="s">
        <v>31</v>
      </c>
      <c r="E83">
        <v>25</v>
      </c>
      <c r="F83" s="2" t="s">
        <v>35</v>
      </c>
      <c r="G83" s="2" t="s">
        <v>194</v>
      </c>
      <c r="H83" s="2" t="s">
        <v>99</v>
      </c>
      <c r="I83" s="2" t="s">
        <v>100</v>
      </c>
      <c r="J83" s="3">
        <v>0.81</v>
      </c>
      <c r="K83" s="3">
        <v>0.27</v>
      </c>
      <c r="L83" s="3">
        <v>50</v>
      </c>
      <c r="M83" s="3">
        <v>25</v>
      </c>
      <c r="N83" s="3">
        <v>25</v>
      </c>
      <c r="O83" s="3">
        <v>16.670000000000002</v>
      </c>
      <c r="P83" s="3">
        <v>16.670000000000002</v>
      </c>
      <c r="Q83" s="3">
        <v>66.67</v>
      </c>
      <c r="R83" s="5">
        <f>IFERROR(IF(_0_00_A_PAINEL_MASTER_V20_APOSTA_ROD[[#This Row],[Met]]="Back_Casa",1,2),0)</f>
        <v>1</v>
      </c>
      <c r="S83" s="3">
        <v>1.82</v>
      </c>
      <c r="T83" s="3">
        <v>1</v>
      </c>
      <c r="U83" s="3">
        <v>0.62</v>
      </c>
      <c r="V83" s="3">
        <v>2</v>
      </c>
      <c r="W83" s="3">
        <v>1</v>
      </c>
      <c r="X83" s="3">
        <v>1</v>
      </c>
      <c r="Y83" s="3"/>
      <c r="Z83" s="3"/>
      <c r="AA83" s="3"/>
      <c r="AB83" s="3"/>
      <c r="BC83" s="8">
        <v>143</v>
      </c>
      <c r="BD83" s="2">
        <v>3.169999999999999</v>
      </c>
    </row>
    <row r="84" spans="1:56" x14ac:dyDescent="0.25">
      <c r="A84">
        <f t="shared" si="2"/>
        <v>83</v>
      </c>
      <c r="B84" s="1">
        <v>46061</v>
      </c>
      <c r="C84" s="6">
        <v>0.70833333333333337</v>
      </c>
      <c r="D84" s="2" t="s">
        <v>31</v>
      </c>
      <c r="E84">
        <v>25</v>
      </c>
      <c r="F84" s="2" t="s">
        <v>193</v>
      </c>
      <c r="G84" s="2" t="s">
        <v>133</v>
      </c>
      <c r="H84" s="2" t="s">
        <v>99</v>
      </c>
      <c r="I84" s="2" t="s">
        <v>100</v>
      </c>
      <c r="J84" s="3">
        <v>1.03</v>
      </c>
      <c r="K84" s="3">
        <v>0.72</v>
      </c>
      <c r="L84" s="3">
        <v>58.33</v>
      </c>
      <c r="M84" s="3">
        <v>33.33</v>
      </c>
      <c r="N84" s="3">
        <v>8.33</v>
      </c>
      <c r="O84" s="3">
        <v>41.67</v>
      </c>
      <c r="P84" s="3">
        <v>8.33</v>
      </c>
      <c r="Q84" s="3">
        <v>50</v>
      </c>
      <c r="R84" s="5">
        <f>IFERROR(IF(_0_00_A_PAINEL_MASTER_V20_APOSTA_ROD[[#This Row],[Met]]="Back_Casa",1,2),0)</f>
        <v>1</v>
      </c>
      <c r="S84" s="3">
        <v>1.77</v>
      </c>
      <c r="T84" s="3">
        <v>1</v>
      </c>
      <c r="U84" s="3">
        <v>0.77</v>
      </c>
      <c r="V84" s="3">
        <v>2</v>
      </c>
      <c r="W84" s="3">
        <v>1</v>
      </c>
      <c r="X84" s="3">
        <v>1</v>
      </c>
      <c r="Y84" s="3"/>
      <c r="Z84" s="3"/>
      <c r="AA84" s="3"/>
      <c r="AB84" s="3"/>
      <c r="BC84" s="8">
        <v>144</v>
      </c>
      <c r="BD84" s="2">
        <v>4.4499999999999993</v>
      </c>
    </row>
    <row r="85" spans="1:56" x14ac:dyDescent="0.25">
      <c r="A85">
        <f t="shared" si="2"/>
        <v>84</v>
      </c>
      <c r="B85" s="1">
        <v>46062</v>
      </c>
      <c r="C85" s="6">
        <v>0.66666666666666663</v>
      </c>
      <c r="D85" s="2" t="s">
        <v>43</v>
      </c>
      <c r="E85">
        <v>26</v>
      </c>
      <c r="F85" s="2" t="s">
        <v>198</v>
      </c>
      <c r="G85" s="2" t="s">
        <v>199</v>
      </c>
      <c r="H85" s="2" t="s">
        <v>102</v>
      </c>
      <c r="I85" s="2" t="s">
        <v>103</v>
      </c>
      <c r="J85" s="3">
        <v>0.88</v>
      </c>
      <c r="K85" s="3">
        <v>0.86</v>
      </c>
      <c r="L85" s="3">
        <v>16.670000000000002</v>
      </c>
      <c r="M85" s="3">
        <v>0</v>
      </c>
      <c r="N85" s="3">
        <v>83.33</v>
      </c>
      <c r="O85" s="3">
        <v>38.46</v>
      </c>
      <c r="P85" s="3">
        <v>30.77</v>
      </c>
      <c r="Q85" s="3">
        <v>30.77</v>
      </c>
      <c r="R85" s="5">
        <f>IFERROR(IF(_0_00_A_PAINEL_MASTER_V20_APOSTA_ROD[[#This Row],[Met]]="Back_Casa",1,2),0)</f>
        <v>2</v>
      </c>
      <c r="S85" s="3">
        <v>2.52</v>
      </c>
      <c r="T85" s="3">
        <v>1</v>
      </c>
      <c r="U85" s="3">
        <v>1.52</v>
      </c>
      <c r="V85" s="3">
        <v>1</v>
      </c>
      <c r="W85" s="3">
        <v>2</v>
      </c>
      <c r="X85" s="3">
        <v>2</v>
      </c>
      <c r="Y85" s="3"/>
      <c r="Z85" s="3"/>
      <c r="AA85" s="3"/>
      <c r="AB85" s="3"/>
      <c r="BC85" s="8">
        <v>145</v>
      </c>
      <c r="BD85" s="2">
        <v>6.129999999999999</v>
      </c>
    </row>
    <row r="86" spans="1:56" x14ac:dyDescent="0.25">
      <c r="A86">
        <f t="shared" si="2"/>
        <v>85</v>
      </c>
      <c r="B86" s="1">
        <v>46062</v>
      </c>
      <c r="C86" s="6">
        <v>0.69791666666666663</v>
      </c>
      <c r="D86" s="2" t="s">
        <v>62</v>
      </c>
      <c r="E86">
        <v>24</v>
      </c>
      <c r="F86" s="2" t="s">
        <v>196</v>
      </c>
      <c r="G86" s="2" t="s">
        <v>197</v>
      </c>
      <c r="H86" s="2" t="s">
        <v>99</v>
      </c>
      <c r="I86" s="2" t="s">
        <v>100</v>
      </c>
      <c r="J86" s="3">
        <v>0.61</v>
      </c>
      <c r="K86" s="3">
        <v>0.55000000000000004</v>
      </c>
      <c r="L86" s="3">
        <v>63.64</v>
      </c>
      <c r="M86" s="3">
        <v>9.09</v>
      </c>
      <c r="N86" s="3">
        <v>27.27</v>
      </c>
      <c r="O86" s="3">
        <v>25</v>
      </c>
      <c r="P86" s="3">
        <v>33.33</v>
      </c>
      <c r="Q86" s="3">
        <v>41.67</v>
      </c>
      <c r="R86" s="5">
        <f>IFERROR(IF(_0_00_A_PAINEL_MASTER_V20_APOSTA_ROD[[#This Row],[Met]]="Back_Casa",1,2),0)</f>
        <v>1</v>
      </c>
      <c r="S86" s="3">
        <v>1.5</v>
      </c>
      <c r="T86" s="3">
        <v>1</v>
      </c>
      <c r="U86" s="3">
        <v>0.5</v>
      </c>
      <c r="V86" s="3">
        <v>2</v>
      </c>
      <c r="W86" s="3">
        <v>0</v>
      </c>
      <c r="X86" s="3">
        <v>1</v>
      </c>
      <c r="Y86" s="3"/>
      <c r="Z86" s="3"/>
      <c r="AA86" s="3"/>
      <c r="AB86" s="3"/>
      <c r="BC86" s="8">
        <v>146</v>
      </c>
      <c r="BD86" s="2">
        <v>5.129999999999999</v>
      </c>
    </row>
    <row r="87" spans="1:56" x14ac:dyDescent="0.25">
      <c r="A87">
        <f t="shared" si="2"/>
        <v>86</v>
      </c>
      <c r="B87" s="1">
        <v>46063</v>
      </c>
      <c r="C87" s="6">
        <v>0.6875</v>
      </c>
      <c r="D87" s="2" t="s">
        <v>20</v>
      </c>
      <c r="E87">
        <v>26</v>
      </c>
      <c r="F87" s="2" t="s">
        <v>160</v>
      </c>
      <c r="G87" s="2" t="s">
        <v>211</v>
      </c>
      <c r="H87" s="2" t="s">
        <v>99</v>
      </c>
      <c r="I87" s="2" t="s">
        <v>100</v>
      </c>
      <c r="J87" s="3">
        <v>1.01</v>
      </c>
      <c r="K87" s="3">
        <v>0.54</v>
      </c>
      <c r="L87" s="3">
        <v>50</v>
      </c>
      <c r="M87" s="3">
        <v>25</v>
      </c>
      <c r="N87" s="3">
        <v>25</v>
      </c>
      <c r="O87" s="3">
        <v>8.33</v>
      </c>
      <c r="P87" s="3">
        <v>33.33</v>
      </c>
      <c r="Q87" s="3">
        <v>58.33</v>
      </c>
      <c r="R87" s="5">
        <f>IFERROR(IF(_0_00_A_PAINEL_MASTER_V20_APOSTA_ROD[[#This Row],[Met]]="Back_Casa",1,2),0)</f>
        <v>1</v>
      </c>
      <c r="S87" s="3">
        <v>1.54</v>
      </c>
      <c r="T87" s="3">
        <v>1</v>
      </c>
      <c r="U87" s="3">
        <v>-1</v>
      </c>
      <c r="V87" s="3">
        <v>2</v>
      </c>
      <c r="W87" s="3">
        <v>2</v>
      </c>
      <c r="X87" s="3">
        <v>0</v>
      </c>
      <c r="Y87" s="3"/>
      <c r="Z87" s="3"/>
      <c r="AA87" s="3"/>
      <c r="AB87" s="3"/>
      <c r="BC87" s="8">
        <v>147</v>
      </c>
      <c r="BD87" s="2">
        <v>4.129999999999999</v>
      </c>
    </row>
    <row r="88" spans="1:56" x14ac:dyDescent="0.25">
      <c r="A88">
        <f t="shared" si="2"/>
        <v>87</v>
      </c>
      <c r="B88" s="1">
        <v>46064</v>
      </c>
      <c r="C88" s="6">
        <v>0.6875</v>
      </c>
      <c r="D88" s="2" t="s">
        <v>20</v>
      </c>
      <c r="E88">
        <v>26</v>
      </c>
      <c r="F88" s="2" t="s">
        <v>64</v>
      </c>
      <c r="G88" s="2" t="s">
        <v>212</v>
      </c>
      <c r="H88" s="2" t="s">
        <v>99</v>
      </c>
      <c r="I88" s="2" t="s">
        <v>100</v>
      </c>
      <c r="J88" s="3">
        <v>0.88</v>
      </c>
      <c r="K88" s="3">
        <v>0.74</v>
      </c>
      <c r="L88" s="3">
        <v>66.67</v>
      </c>
      <c r="M88" s="3">
        <v>8.33</v>
      </c>
      <c r="N88" s="3">
        <v>25</v>
      </c>
      <c r="O88" s="3">
        <v>16.670000000000002</v>
      </c>
      <c r="P88" s="3">
        <v>33.33</v>
      </c>
      <c r="Q88" s="3">
        <v>50</v>
      </c>
      <c r="R88" s="5">
        <f>IFERROR(IF(_0_00_A_PAINEL_MASTER_V20_APOSTA_ROD[[#This Row],[Met]]="Back_Casa",1,2),0)</f>
        <v>1</v>
      </c>
      <c r="S88" s="3">
        <v>2.04</v>
      </c>
      <c r="T88" s="3">
        <v>1</v>
      </c>
      <c r="U88" s="3">
        <v>1.04</v>
      </c>
      <c r="V88" s="3">
        <v>1</v>
      </c>
      <c r="W88" s="3">
        <v>0</v>
      </c>
      <c r="X88" s="3">
        <v>1</v>
      </c>
      <c r="Y88" s="3"/>
      <c r="Z88" s="3"/>
      <c r="AA88" s="3"/>
      <c r="AB88" s="3"/>
      <c r="BC88" s="8">
        <v>148</v>
      </c>
      <c r="BD88" s="2">
        <v>4.5599999999999987</v>
      </c>
    </row>
    <row r="89" spans="1:56" x14ac:dyDescent="0.25">
      <c r="A89">
        <f t="shared" si="2"/>
        <v>88</v>
      </c>
      <c r="B89" s="1">
        <v>46065</v>
      </c>
      <c r="C89" s="6">
        <v>0.66666666666666663</v>
      </c>
      <c r="D89" s="2" t="s">
        <v>43</v>
      </c>
      <c r="E89">
        <v>27</v>
      </c>
      <c r="F89" s="2" t="s">
        <v>143</v>
      </c>
      <c r="G89" s="2" t="s">
        <v>213</v>
      </c>
      <c r="H89" s="2" t="s">
        <v>99</v>
      </c>
      <c r="I89" s="2" t="s">
        <v>100</v>
      </c>
      <c r="J89" s="3">
        <v>1.38</v>
      </c>
      <c r="K89" s="3">
        <v>0.57999999999999996</v>
      </c>
      <c r="L89" s="3">
        <v>46.15</v>
      </c>
      <c r="M89" s="3">
        <v>23.08</v>
      </c>
      <c r="N89" s="3">
        <v>30.77</v>
      </c>
      <c r="O89" s="3">
        <v>30.77</v>
      </c>
      <c r="P89" s="3">
        <v>23.08</v>
      </c>
      <c r="Q89" s="3">
        <v>46.15</v>
      </c>
      <c r="R89" s="5">
        <f>IFERROR(IF(_0_00_A_PAINEL_MASTER_V20_APOSTA_ROD[[#This Row],[Met]]="Back_Casa",1,2),0)</f>
        <v>1</v>
      </c>
      <c r="S89" s="3">
        <v>1.86</v>
      </c>
      <c r="T89" s="3">
        <v>1</v>
      </c>
      <c r="U89" s="3">
        <v>0.86</v>
      </c>
      <c r="V89" s="3">
        <v>2</v>
      </c>
      <c r="W89" s="3">
        <v>1</v>
      </c>
      <c r="X89" s="3">
        <v>1</v>
      </c>
      <c r="Y89" s="3"/>
      <c r="Z89" s="3"/>
      <c r="AA89" s="3"/>
      <c r="AB89" s="3"/>
      <c r="BC89" s="8">
        <v>149</v>
      </c>
      <c r="BD89" s="2">
        <v>4.9899999999999984</v>
      </c>
    </row>
    <row r="90" spans="1:56" x14ac:dyDescent="0.25">
      <c r="A90">
        <f t="shared" si="2"/>
        <v>89</v>
      </c>
      <c r="B90" s="1">
        <v>46066</v>
      </c>
      <c r="C90" s="6">
        <v>0.58333333333333337</v>
      </c>
      <c r="D90" s="2" t="s">
        <v>48</v>
      </c>
      <c r="E90">
        <v>22</v>
      </c>
      <c r="F90" s="2" t="s">
        <v>141</v>
      </c>
      <c r="G90" s="2" t="s">
        <v>214</v>
      </c>
      <c r="H90" s="2" t="s">
        <v>102</v>
      </c>
      <c r="I90" s="2" t="s">
        <v>103</v>
      </c>
      <c r="J90" s="3">
        <v>0.67</v>
      </c>
      <c r="K90" s="3">
        <v>0.88</v>
      </c>
      <c r="L90" s="3">
        <v>20</v>
      </c>
      <c r="M90" s="3">
        <v>20</v>
      </c>
      <c r="N90" s="3">
        <v>60</v>
      </c>
      <c r="O90" s="3">
        <v>40</v>
      </c>
      <c r="P90" s="3">
        <v>40</v>
      </c>
      <c r="Q90" s="3">
        <v>20</v>
      </c>
      <c r="R90" s="5">
        <f>IFERROR(IF(_0_00_A_PAINEL_MASTER_V20_APOSTA_ROD[[#This Row],[Met]]="Back_Casa",1,2),0)</f>
        <v>2</v>
      </c>
      <c r="S90" s="3">
        <v>2.15</v>
      </c>
      <c r="T90" s="3">
        <v>1</v>
      </c>
      <c r="U90" s="3">
        <v>-1</v>
      </c>
      <c r="V90" s="3">
        <v>3</v>
      </c>
      <c r="W90" s="3">
        <v>1</v>
      </c>
      <c r="X90" s="3">
        <v>1</v>
      </c>
      <c r="BC90" s="8">
        <v>150</v>
      </c>
      <c r="BD90" s="2">
        <v>5.7899999999999983</v>
      </c>
    </row>
    <row r="91" spans="1:56" x14ac:dyDescent="0.25">
      <c r="A91">
        <f t="shared" si="2"/>
        <v>90</v>
      </c>
      <c r="B91" s="1">
        <v>46066</v>
      </c>
      <c r="C91" s="6">
        <v>0.625</v>
      </c>
      <c r="D91" s="2" t="s">
        <v>50</v>
      </c>
      <c r="E91">
        <v>24</v>
      </c>
      <c r="F91" s="2" t="s">
        <v>111</v>
      </c>
      <c r="G91" s="2" t="s">
        <v>216</v>
      </c>
      <c r="H91" s="2" t="s">
        <v>99</v>
      </c>
      <c r="I91" s="2" t="s">
        <v>100</v>
      </c>
      <c r="J91" s="3">
        <v>0.94</v>
      </c>
      <c r="K91" s="3">
        <v>0.52</v>
      </c>
      <c r="L91" s="3">
        <v>50</v>
      </c>
      <c r="M91" s="3">
        <v>16.670000000000002</v>
      </c>
      <c r="N91" s="3">
        <v>33.33</v>
      </c>
      <c r="O91" s="3">
        <v>9.09</v>
      </c>
      <c r="P91" s="3">
        <v>27.27</v>
      </c>
      <c r="Q91" s="3">
        <v>63.64</v>
      </c>
      <c r="R91" s="5">
        <f>IFERROR(IF(_0_00_A_PAINEL_MASTER_V20_APOSTA_ROD[[#This Row],[Met]]="Back_Casa",1,2),0)</f>
        <v>1</v>
      </c>
      <c r="S91" s="3">
        <v>2.23</v>
      </c>
      <c r="T91" s="3">
        <v>1</v>
      </c>
      <c r="U91" s="3">
        <v>-1</v>
      </c>
      <c r="V91" s="3">
        <v>2</v>
      </c>
      <c r="W91" s="3">
        <v>2</v>
      </c>
      <c r="X91" s="3">
        <v>0</v>
      </c>
      <c r="BC91" s="8">
        <v>151</v>
      </c>
      <c r="BD91" s="2">
        <v>6.4199999999999982</v>
      </c>
    </row>
    <row r="92" spans="1:56" x14ac:dyDescent="0.25">
      <c r="A92">
        <f t="shared" si="2"/>
        <v>91</v>
      </c>
      <c r="B92" s="1">
        <v>46066</v>
      </c>
      <c r="C92" s="6">
        <v>0.66666666666666663</v>
      </c>
      <c r="D92" s="2" t="s">
        <v>154</v>
      </c>
      <c r="E92">
        <v>23</v>
      </c>
      <c r="F92" s="2" t="s">
        <v>215</v>
      </c>
      <c r="G92" s="2" t="s">
        <v>155</v>
      </c>
      <c r="H92" s="2" t="s">
        <v>102</v>
      </c>
      <c r="I92" s="2" t="s">
        <v>103</v>
      </c>
      <c r="J92" s="3">
        <v>0.62</v>
      </c>
      <c r="K92" s="3">
        <v>0.78</v>
      </c>
      <c r="L92" s="3">
        <v>18.18</v>
      </c>
      <c r="M92" s="3">
        <v>27.27</v>
      </c>
      <c r="N92" s="3">
        <v>54.55</v>
      </c>
      <c r="O92" s="3">
        <v>40</v>
      </c>
      <c r="P92" s="3">
        <v>30</v>
      </c>
      <c r="Q92" s="3">
        <v>30</v>
      </c>
      <c r="R92" s="5">
        <f>IFERROR(IF(_0_00_A_PAINEL_MASTER_V20_APOSTA_ROD[[#This Row],[Met]]="Back_Casa",1,2),0)</f>
        <v>2</v>
      </c>
      <c r="S92" s="3">
        <v>1.99</v>
      </c>
      <c r="T92" s="3">
        <v>1</v>
      </c>
      <c r="U92" s="3">
        <v>0.99</v>
      </c>
      <c r="V92" s="3">
        <v>1</v>
      </c>
      <c r="W92" s="3">
        <v>3</v>
      </c>
      <c r="X92" s="3">
        <v>2</v>
      </c>
      <c r="BC92" s="8">
        <v>152</v>
      </c>
      <c r="BD92" s="2">
        <v>5.4199999999999982</v>
      </c>
    </row>
    <row r="93" spans="1:56" x14ac:dyDescent="0.25">
      <c r="A93">
        <f t="shared" si="2"/>
        <v>92</v>
      </c>
      <c r="B93" s="1">
        <v>46066</v>
      </c>
      <c r="C93" s="6">
        <v>0.6875</v>
      </c>
      <c r="D93" s="2" t="s">
        <v>31</v>
      </c>
      <c r="E93">
        <v>26</v>
      </c>
      <c r="F93" s="2" t="s">
        <v>175</v>
      </c>
      <c r="G93" s="2" t="s">
        <v>174</v>
      </c>
      <c r="H93" s="2" t="s">
        <v>99</v>
      </c>
      <c r="I93" s="2" t="s">
        <v>100</v>
      </c>
      <c r="J93" s="3">
        <v>1.33</v>
      </c>
      <c r="K93" s="3">
        <v>0.59</v>
      </c>
      <c r="L93" s="3">
        <v>58.33</v>
      </c>
      <c r="M93" s="3">
        <v>16.670000000000002</v>
      </c>
      <c r="N93" s="3">
        <v>25</v>
      </c>
      <c r="O93" s="3">
        <v>30.77</v>
      </c>
      <c r="P93" s="3">
        <v>23.08</v>
      </c>
      <c r="Q93" s="3">
        <v>46.15</v>
      </c>
      <c r="R93" s="5">
        <f>IFERROR(IF(_0_00_A_PAINEL_MASTER_V20_APOSTA_ROD[[#This Row],[Met]]="Back_Casa",1,2),0)</f>
        <v>1</v>
      </c>
      <c r="S93" s="3">
        <v>1.74</v>
      </c>
      <c r="T93" s="3">
        <v>1</v>
      </c>
      <c r="U93" s="3">
        <v>0.74</v>
      </c>
      <c r="V93" s="3">
        <v>3</v>
      </c>
      <c r="W93" s="3">
        <v>2</v>
      </c>
      <c r="X93" s="3">
        <v>1</v>
      </c>
      <c r="BC93" s="8">
        <v>153</v>
      </c>
      <c r="BD93" s="2">
        <v>5.8999999999999986</v>
      </c>
    </row>
    <row r="94" spans="1:56" x14ac:dyDescent="0.25">
      <c r="A94">
        <f t="shared" si="2"/>
        <v>93</v>
      </c>
      <c r="B94" s="1">
        <v>46066</v>
      </c>
      <c r="C94" s="6">
        <v>0.71180555555555558</v>
      </c>
      <c r="D94" s="2" t="s">
        <v>36</v>
      </c>
      <c r="E94">
        <v>22</v>
      </c>
      <c r="F94" s="2" t="s">
        <v>78</v>
      </c>
      <c r="G94" s="2" t="s">
        <v>180</v>
      </c>
      <c r="H94" s="2" t="s">
        <v>99</v>
      </c>
      <c r="I94" s="2" t="s">
        <v>100</v>
      </c>
      <c r="J94" s="3">
        <v>1.24</v>
      </c>
      <c r="K94" s="3">
        <v>0.47</v>
      </c>
      <c r="L94" s="3">
        <v>54.55</v>
      </c>
      <c r="M94" s="3">
        <v>9.09</v>
      </c>
      <c r="N94" s="3">
        <v>36.36</v>
      </c>
      <c r="O94" s="3">
        <v>20</v>
      </c>
      <c r="P94" s="3">
        <v>30</v>
      </c>
      <c r="Q94" s="3">
        <v>50</v>
      </c>
      <c r="R94" s="5">
        <f>IFERROR(IF(_0_00_A_PAINEL_MASTER_V20_APOSTA_ROD[[#This Row],[Met]]="Back_Casa",1,2),0)</f>
        <v>1</v>
      </c>
      <c r="S94" s="3">
        <v>1.44</v>
      </c>
      <c r="T94" s="3">
        <v>1</v>
      </c>
      <c r="U94" s="3">
        <v>0.44</v>
      </c>
      <c r="V94" s="3">
        <v>3</v>
      </c>
      <c r="W94" s="3">
        <v>1</v>
      </c>
      <c r="X94" s="3">
        <v>1</v>
      </c>
      <c r="BC94" s="8">
        <v>154</v>
      </c>
      <c r="BD94" s="2">
        <v>6.6499999999999986</v>
      </c>
    </row>
    <row r="95" spans="1:56" x14ac:dyDescent="0.25">
      <c r="A95">
        <f t="shared" si="2"/>
        <v>94</v>
      </c>
      <c r="B95" s="1">
        <v>46067</v>
      </c>
      <c r="C95" s="6">
        <v>0.45833333333333331</v>
      </c>
      <c r="D95" s="2" t="s">
        <v>63</v>
      </c>
      <c r="E95">
        <v>25</v>
      </c>
      <c r="F95" s="2" t="s">
        <v>191</v>
      </c>
      <c r="G95" s="2" t="s">
        <v>87</v>
      </c>
      <c r="H95" s="2" t="s">
        <v>99</v>
      </c>
      <c r="I95" s="2" t="s">
        <v>100</v>
      </c>
      <c r="J95" s="3">
        <v>0.92</v>
      </c>
      <c r="K95" s="3">
        <v>0.3</v>
      </c>
      <c r="L95" s="3">
        <v>66.67</v>
      </c>
      <c r="M95" s="3">
        <v>25</v>
      </c>
      <c r="N95" s="3">
        <v>8.33</v>
      </c>
      <c r="O95" s="3">
        <v>0</v>
      </c>
      <c r="P95" s="3">
        <v>33.33</v>
      </c>
      <c r="Q95" s="3">
        <v>66.67</v>
      </c>
      <c r="R95" s="5">
        <f>IFERROR(IF(_0_00_A_PAINEL_MASTER_V20_APOSTA_ROD[[#This Row],[Met]]="Back_Casa",1,2),0)</f>
        <v>1</v>
      </c>
      <c r="S95" s="3">
        <v>1.55</v>
      </c>
      <c r="T95" s="3">
        <v>1</v>
      </c>
      <c r="U95" s="3">
        <v>0.55000000000000004</v>
      </c>
      <c r="V95" s="3">
        <v>3</v>
      </c>
      <c r="W95" s="3">
        <v>0</v>
      </c>
      <c r="X95" s="3">
        <v>1</v>
      </c>
      <c r="BC95" s="8" t="s">
        <v>204</v>
      </c>
      <c r="BD95" s="2"/>
    </row>
    <row r="96" spans="1:56" x14ac:dyDescent="0.25">
      <c r="A96">
        <f t="shared" si="2"/>
        <v>95</v>
      </c>
      <c r="B96" s="1">
        <v>46067</v>
      </c>
      <c r="C96" s="6">
        <v>0.47916666666666669</v>
      </c>
      <c r="D96" s="2" t="s">
        <v>42</v>
      </c>
      <c r="E96">
        <v>22</v>
      </c>
      <c r="F96" s="2" t="s">
        <v>127</v>
      </c>
      <c r="G96" s="2" t="s">
        <v>220</v>
      </c>
      <c r="H96" s="2" t="s">
        <v>99</v>
      </c>
      <c r="I96" s="2" t="s">
        <v>100</v>
      </c>
      <c r="J96" s="3">
        <v>1.24</v>
      </c>
      <c r="K96" s="3">
        <v>0.42</v>
      </c>
      <c r="L96" s="3">
        <v>60</v>
      </c>
      <c r="M96" s="3">
        <v>10</v>
      </c>
      <c r="N96" s="3">
        <v>30</v>
      </c>
      <c r="O96" s="3">
        <v>9.09</v>
      </c>
      <c r="P96" s="3">
        <v>18.18</v>
      </c>
      <c r="Q96" s="3">
        <v>72.73</v>
      </c>
      <c r="R96" s="5">
        <f>IFERROR(IF(_0_00_A_PAINEL_MASTER_V20_APOSTA_ROD[[#This Row],[Met]]="Back_Casa",1,2),0)</f>
        <v>1</v>
      </c>
      <c r="S96" s="3">
        <v>1.51</v>
      </c>
      <c r="T96" s="3">
        <v>1</v>
      </c>
      <c r="U96" s="3">
        <v>0.51</v>
      </c>
      <c r="V96" s="3">
        <v>3</v>
      </c>
      <c r="W96" s="3">
        <v>0</v>
      </c>
      <c r="X96" s="3">
        <v>1</v>
      </c>
    </row>
    <row r="97" spans="1:24" x14ac:dyDescent="0.25">
      <c r="A97">
        <f t="shared" si="2"/>
        <v>96</v>
      </c>
      <c r="B97" s="1">
        <v>46067</v>
      </c>
      <c r="C97" s="6">
        <v>0.5</v>
      </c>
      <c r="D97" s="2" t="s">
        <v>27</v>
      </c>
      <c r="E97">
        <v>32</v>
      </c>
      <c r="F97" s="2" t="s">
        <v>147</v>
      </c>
      <c r="G97" s="2" t="s">
        <v>219</v>
      </c>
      <c r="H97" s="2" t="s">
        <v>99</v>
      </c>
      <c r="I97" s="2" t="s">
        <v>100</v>
      </c>
      <c r="J97" s="3">
        <v>1.27</v>
      </c>
      <c r="K97" s="3">
        <v>0.66</v>
      </c>
      <c r="L97" s="3">
        <v>53.85</v>
      </c>
      <c r="M97" s="3">
        <v>15.38</v>
      </c>
      <c r="N97" s="3">
        <v>30.77</v>
      </c>
      <c r="O97" s="3">
        <v>40</v>
      </c>
      <c r="P97" s="3">
        <v>13.33</v>
      </c>
      <c r="Q97" s="3">
        <v>46.67</v>
      </c>
      <c r="R97" s="5">
        <f>IFERROR(IF(_0_00_A_PAINEL_MASTER_V20_APOSTA_ROD[[#This Row],[Met]]="Back_Casa",1,2),0)</f>
        <v>1</v>
      </c>
      <c r="S97" s="3">
        <v>2.02</v>
      </c>
      <c r="T97" s="3">
        <v>1</v>
      </c>
      <c r="U97" s="3">
        <v>-1</v>
      </c>
      <c r="V97" s="3">
        <v>3</v>
      </c>
      <c r="W97" s="3">
        <v>3</v>
      </c>
      <c r="X97" s="3">
        <v>0</v>
      </c>
    </row>
    <row r="98" spans="1:24" x14ac:dyDescent="0.25">
      <c r="A98">
        <f t="shared" si="2"/>
        <v>97</v>
      </c>
      <c r="B98" s="1">
        <v>46067</v>
      </c>
      <c r="C98" s="6">
        <v>0.5</v>
      </c>
      <c r="D98" s="2" t="s">
        <v>27</v>
      </c>
      <c r="E98">
        <v>32</v>
      </c>
      <c r="F98" s="2" t="s">
        <v>151</v>
      </c>
      <c r="G98" s="2" t="s">
        <v>69</v>
      </c>
      <c r="H98" s="2" t="s">
        <v>99</v>
      </c>
      <c r="I98" s="2" t="s">
        <v>100</v>
      </c>
      <c r="J98" s="3">
        <v>0.82</v>
      </c>
      <c r="K98" s="3">
        <v>0.63</v>
      </c>
      <c r="L98" s="3">
        <v>66.67</v>
      </c>
      <c r="M98" s="3">
        <v>20</v>
      </c>
      <c r="N98" s="3">
        <v>13.33</v>
      </c>
      <c r="O98" s="3">
        <v>40</v>
      </c>
      <c r="P98" s="3">
        <v>6.67</v>
      </c>
      <c r="Q98" s="3">
        <v>53.33</v>
      </c>
      <c r="R98" s="5">
        <f>IFERROR(IF(_0_00_A_PAINEL_MASTER_V20_APOSTA_ROD[[#This Row],[Met]]="Back_Casa",1,2),0)</f>
        <v>1</v>
      </c>
      <c r="S98" s="3">
        <v>1.88</v>
      </c>
      <c r="T98" s="3">
        <v>1</v>
      </c>
      <c r="U98" s="3">
        <v>0.88</v>
      </c>
      <c r="V98" s="3">
        <v>2</v>
      </c>
      <c r="W98" s="3">
        <v>0</v>
      </c>
      <c r="X98" s="3">
        <v>1</v>
      </c>
    </row>
    <row r="99" spans="1:24" x14ac:dyDescent="0.25">
      <c r="A99">
        <f t="shared" si="2"/>
        <v>98</v>
      </c>
      <c r="B99" s="1">
        <v>46067</v>
      </c>
      <c r="C99" s="6">
        <v>0.5</v>
      </c>
      <c r="D99" s="2" t="s">
        <v>21</v>
      </c>
      <c r="E99">
        <v>32</v>
      </c>
      <c r="F99" s="2" t="s">
        <v>24</v>
      </c>
      <c r="G99" s="2" t="s">
        <v>165</v>
      </c>
      <c r="H99" s="2" t="s">
        <v>99</v>
      </c>
      <c r="I99" s="2" t="s">
        <v>100</v>
      </c>
      <c r="J99" s="3">
        <v>1.05</v>
      </c>
      <c r="K99" s="3">
        <v>0.42</v>
      </c>
      <c r="L99" s="3">
        <v>53.33</v>
      </c>
      <c r="M99" s="3">
        <v>13.33</v>
      </c>
      <c r="N99" s="3">
        <v>33.33</v>
      </c>
      <c r="O99" s="3">
        <v>33.33</v>
      </c>
      <c r="P99" s="3">
        <v>20</v>
      </c>
      <c r="Q99" s="3">
        <v>46.67</v>
      </c>
      <c r="R99" s="5">
        <f>IFERROR(IF(_0_00_A_PAINEL_MASTER_V20_APOSTA_ROD[[#This Row],[Met]]="Back_Casa",1,2),0)</f>
        <v>1</v>
      </c>
      <c r="S99" s="3">
        <v>2.25</v>
      </c>
      <c r="T99" s="3">
        <v>1</v>
      </c>
      <c r="U99" s="3">
        <v>-1</v>
      </c>
      <c r="V99" s="3">
        <v>1</v>
      </c>
      <c r="W99" s="3">
        <v>3</v>
      </c>
      <c r="X99" s="3">
        <v>2</v>
      </c>
    </row>
    <row r="100" spans="1:24" x14ac:dyDescent="0.25">
      <c r="A100">
        <f t="shared" si="2"/>
        <v>99</v>
      </c>
      <c r="B100" s="1">
        <v>46067</v>
      </c>
      <c r="C100" s="6">
        <v>0.51041666666666663</v>
      </c>
      <c r="D100" s="2" t="s">
        <v>29</v>
      </c>
      <c r="E100">
        <v>24</v>
      </c>
      <c r="F100" s="2" t="s">
        <v>217</v>
      </c>
      <c r="G100" s="2" t="s">
        <v>218</v>
      </c>
      <c r="H100" s="2" t="s">
        <v>102</v>
      </c>
      <c r="I100" s="2" t="s">
        <v>103</v>
      </c>
      <c r="J100" s="3">
        <v>0.32</v>
      </c>
      <c r="K100" s="3">
        <v>0.88</v>
      </c>
      <c r="L100" s="3">
        <v>27.27</v>
      </c>
      <c r="M100" s="3">
        <v>27.27</v>
      </c>
      <c r="N100" s="3">
        <v>45.45</v>
      </c>
      <c r="O100" s="3">
        <v>45.45</v>
      </c>
      <c r="P100" s="3">
        <v>27.27</v>
      </c>
      <c r="Q100" s="3">
        <v>27.27</v>
      </c>
      <c r="R100" s="5">
        <f>IFERROR(IF(_0_00_A_PAINEL_MASTER_V20_APOSTA_ROD[[#This Row],[Met]]="Back_Casa",1,2),0)</f>
        <v>2</v>
      </c>
      <c r="S100" s="3">
        <v>2.7</v>
      </c>
      <c r="T100" s="3">
        <v>1</v>
      </c>
      <c r="U100" s="3">
        <v>-1</v>
      </c>
      <c r="V100" s="3">
        <v>2</v>
      </c>
      <c r="W100" s="3">
        <v>1</v>
      </c>
      <c r="X100" s="3">
        <v>1</v>
      </c>
    </row>
    <row r="101" spans="1:24" x14ac:dyDescent="0.25">
      <c r="A101">
        <f t="shared" si="2"/>
        <v>100</v>
      </c>
      <c r="B101" s="1">
        <v>46067</v>
      </c>
      <c r="C101" s="6">
        <v>0.52083333333333337</v>
      </c>
      <c r="D101" s="2" t="s">
        <v>50</v>
      </c>
      <c r="E101">
        <v>24</v>
      </c>
      <c r="F101" s="2" t="s">
        <v>136</v>
      </c>
      <c r="G101" s="2" t="s">
        <v>117</v>
      </c>
      <c r="H101" s="2" t="s">
        <v>99</v>
      </c>
      <c r="I101" s="2" t="s">
        <v>100</v>
      </c>
      <c r="J101" s="3">
        <v>1.24</v>
      </c>
      <c r="K101" s="3">
        <v>0.64</v>
      </c>
      <c r="L101" s="3">
        <v>50</v>
      </c>
      <c r="M101" s="3">
        <v>33.33</v>
      </c>
      <c r="N101" s="3">
        <v>16.670000000000002</v>
      </c>
      <c r="O101" s="3">
        <v>25</v>
      </c>
      <c r="P101" s="3">
        <v>16.670000000000002</v>
      </c>
      <c r="Q101" s="3">
        <v>58.33</v>
      </c>
      <c r="R101" s="5">
        <f>IFERROR(IF(_0_00_A_PAINEL_MASTER_V20_APOSTA_ROD[[#This Row],[Met]]="Back_Casa",1,2),0)</f>
        <v>1</v>
      </c>
      <c r="S101" s="3">
        <v>1.91</v>
      </c>
      <c r="T101" s="3">
        <v>1</v>
      </c>
      <c r="U101" s="3">
        <v>0.91</v>
      </c>
      <c r="V101" s="3">
        <v>3</v>
      </c>
      <c r="W101" s="3">
        <v>2</v>
      </c>
      <c r="X101" s="3">
        <v>1</v>
      </c>
    </row>
    <row r="102" spans="1:24" x14ac:dyDescent="0.25">
      <c r="A102">
        <f t="shared" si="2"/>
        <v>101</v>
      </c>
      <c r="B102" s="1">
        <v>46067</v>
      </c>
      <c r="C102" s="6">
        <v>0.60416666666666663</v>
      </c>
      <c r="D102" s="2" t="s">
        <v>42</v>
      </c>
      <c r="E102">
        <v>22</v>
      </c>
      <c r="F102" s="2" t="s">
        <v>176</v>
      </c>
      <c r="G102" s="2" t="s">
        <v>129</v>
      </c>
      <c r="H102" s="2" t="s">
        <v>99</v>
      </c>
      <c r="I102" s="2" t="s">
        <v>100</v>
      </c>
      <c r="J102" s="3">
        <v>0.88</v>
      </c>
      <c r="K102" s="3">
        <v>0.69</v>
      </c>
      <c r="L102" s="3">
        <v>70</v>
      </c>
      <c r="M102" s="3">
        <v>20</v>
      </c>
      <c r="N102" s="3">
        <v>10</v>
      </c>
      <c r="O102" s="3">
        <v>20</v>
      </c>
      <c r="P102" s="3">
        <v>30</v>
      </c>
      <c r="Q102" s="3">
        <v>50</v>
      </c>
      <c r="R102" s="5">
        <f>IFERROR(IF(_0_00_A_PAINEL_MASTER_V20_APOSTA_ROD[[#This Row],[Met]]="Back_Casa",1,2),0)</f>
        <v>1</v>
      </c>
      <c r="S102" s="3">
        <v>1.48</v>
      </c>
      <c r="T102" s="3">
        <v>1</v>
      </c>
      <c r="U102" s="3">
        <v>0.48</v>
      </c>
      <c r="V102" s="3">
        <v>3</v>
      </c>
      <c r="W102" s="3">
        <v>1</v>
      </c>
      <c r="X102" s="3">
        <v>1</v>
      </c>
    </row>
    <row r="103" spans="1:24" x14ac:dyDescent="0.25">
      <c r="A103">
        <f t="shared" si="2"/>
        <v>102</v>
      </c>
      <c r="B103" s="1">
        <v>46067</v>
      </c>
      <c r="C103" s="6">
        <v>0.625</v>
      </c>
      <c r="D103" s="2" t="s">
        <v>36</v>
      </c>
      <c r="E103">
        <v>22</v>
      </c>
      <c r="F103" s="2" t="s">
        <v>132</v>
      </c>
      <c r="G103" s="2" t="s">
        <v>37</v>
      </c>
      <c r="H103" s="2" t="s">
        <v>99</v>
      </c>
      <c r="I103" s="2" t="s">
        <v>100</v>
      </c>
      <c r="J103" s="3">
        <v>0.95</v>
      </c>
      <c r="K103" s="3">
        <v>0.69</v>
      </c>
      <c r="L103" s="3">
        <v>60</v>
      </c>
      <c r="M103" s="3">
        <v>10</v>
      </c>
      <c r="N103" s="3">
        <v>30</v>
      </c>
      <c r="O103" s="3">
        <v>20</v>
      </c>
      <c r="P103" s="3">
        <v>20</v>
      </c>
      <c r="Q103" s="3">
        <v>60</v>
      </c>
      <c r="R103" s="5">
        <f>IFERROR(IF(_0_00_A_PAINEL_MASTER_V20_APOSTA_ROD[[#This Row],[Met]]="Back_Casa",1,2),0)</f>
        <v>1</v>
      </c>
      <c r="S103" s="3">
        <v>1.57</v>
      </c>
      <c r="T103" s="3">
        <v>1</v>
      </c>
      <c r="U103" s="3">
        <v>-1</v>
      </c>
      <c r="V103" s="3">
        <v>1</v>
      </c>
      <c r="W103" s="3">
        <v>1</v>
      </c>
      <c r="X103" s="3">
        <v>0</v>
      </c>
    </row>
    <row r="104" spans="1:24" x14ac:dyDescent="0.25">
      <c r="A104">
        <f t="shared" si="2"/>
        <v>103</v>
      </c>
      <c r="B104" s="1">
        <v>46068</v>
      </c>
      <c r="C104" s="6">
        <v>0.39583333333333331</v>
      </c>
      <c r="D104" s="2" t="s">
        <v>53</v>
      </c>
      <c r="E104">
        <v>22</v>
      </c>
      <c r="F104" s="2" t="s">
        <v>202</v>
      </c>
      <c r="G104" s="2" t="s">
        <v>121</v>
      </c>
      <c r="H104" s="2" t="s">
        <v>102</v>
      </c>
      <c r="I104" s="2" t="s">
        <v>103</v>
      </c>
      <c r="J104" s="3">
        <v>0.76</v>
      </c>
      <c r="K104" s="3">
        <v>0.67</v>
      </c>
      <c r="L104" s="3">
        <v>40</v>
      </c>
      <c r="M104" s="3">
        <v>20</v>
      </c>
      <c r="N104" s="3">
        <v>40</v>
      </c>
      <c r="O104" s="3">
        <v>45.45</v>
      </c>
      <c r="P104" s="3">
        <v>18.18</v>
      </c>
      <c r="Q104" s="3">
        <v>36.36</v>
      </c>
      <c r="R104" s="5">
        <f>IFERROR(IF(_0_00_A_PAINEL_MASTER_V20_APOSTA_ROD[[#This Row],[Met]]="Back_Casa",1,2),0)</f>
        <v>2</v>
      </c>
      <c r="S104" s="3">
        <v>2.38</v>
      </c>
      <c r="T104" s="3">
        <v>1</v>
      </c>
      <c r="U104" s="3">
        <v>1.38</v>
      </c>
      <c r="V104" s="3">
        <v>1</v>
      </c>
      <c r="W104" s="3">
        <v>2</v>
      </c>
      <c r="X104" s="3">
        <v>2</v>
      </c>
    </row>
    <row r="105" spans="1:24" x14ac:dyDescent="0.25">
      <c r="A105">
        <f t="shared" si="2"/>
        <v>104</v>
      </c>
      <c r="B105" s="1">
        <v>46068</v>
      </c>
      <c r="C105" s="6">
        <v>0.45833333333333331</v>
      </c>
      <c r="D105" s="2" t="s">
        <v>48</v>
      </c>
      <c r="E105">
        <v>22</v>
      </c>
      <c r="F105" s="2" t="s">
        <v>167</v>
      </c>
      <c r="G105" s="2" t="s">
        <v>56</v>
      </c>
      <c r="H105" s="2" t="s">
        <v>99</v>
      </c>
      <c r="I105" s="2" t="s">
        <v>100</v>
      </c>
      <c r="J105" s="3">
        <v>0.77</v>
      </c>
      <c r="K105" s="3">
        <v>0.53</v>
      </c>
      <c r="L105" s="3">
        <v>60</v>
      </c>
      <c r="M105" s="3">
        <v>30</v>
      </c>
      <c r="N105" s="3">
        <v>10</v>
      </c>
      <c r="O105" s="3">
        <v>9.09</v>
      </c>
      <c r="P105" s="3">
        <v>54.55</v>
      </c>
      <c r="Q105" s="3">
        <v>36.36</v>
      </c>
      <c r="R105" s="5">
        <f>IFERROR(IF(_0_00_A_PAINEL_MASTER_V20_APOSTA_ROD[[#This Row],[Met]]="Back_Casa",1,2),0)</f>
        <v>1</v>
      </c>
      <c r="S105" s="3">
        <v>1.74</v>
      </c>
      <c r="T105" s="3">
        <v>1</v>
      </c>
      <c r="U105" s="3">
        <v>-1</v>
      </c>
      <c r="V105" s="3">
        <v>0</v>
      </c>
      <c r="W105" s="3">
        <v>0</v>
      </c>
      <c r="X105" s="3">
        <v>0</v>
      </c>
    </row>
    <row r="106" spans="1:24" x14ac:dyDescent="0.25">
      <c r="A106">
        <f t="shared" si="2"/>
        <v>105</v>
      </c>
      <c r="B106" s="1">
        <v>46068</v>
      </c>
      <c r="C106" s="6">
        <v>0.60416666666666663</v>
      </c>
      <c r="D106" s="2" t="s">
        <v>61</v>
      </c>
      <c r="E106">
        <v>25</v>
      </c>
      <c r="F106" s="2" t="s">
        <v>119</v>
      </c>
      <c r="G106" s="2" t="s">
        <v>221</v>
      </c>
      <c r="H106" s="2" t="s">
        <v>99</v>
      </c>
      <c r="I106" s="2" t="s">
        <v>100</v>
      </c>
      <c r="J106" s="3">
        <v>0.92</v>
      </c>
      <c r="K106" s="3">
        <v>0.63</v>
      </c>
      <c r="L106" s="3">
        <v>58.33</v>
      </c>
      <c r="M106" s="3">
        <v>25</v>
      </c>
      <c r="N106" s="3">
        <v>16.670000000000002</v>
      </c>
      <c r="O106" s="3">
        <v>16.670000000000002</v>
      </c>
      <c r="P106" s="3">
        <v>33.33</v>
      </c>
      <c r="Q106" s="3">
        <v>50</v>
      </c>
      <c r="R106" s="5">
        <f>IFERROR(IF(_0_00_A_PAINEL_MASTER_V20_APOSTA_ROD[[#This Row],[Met]]="Back_Casa",1,2),0)</f>
        <v>1</v>
      </c>
      <c r="S106" s="3">
        <v>1.8</v>
      </c>
      <c r="T106" s="3">
        <v>1</v>
      </c>
      <c r="U106" s="3">
        <v>-1</v>
      </c>
      <c r="V106" s="3">
        <v>0</v>
      </c>
      <c r="W106" s="3">
        <v>0</v>
      </c>
      <c r="X106" s="3">
        <v>0</v>
      </c>
    </row>
    <row r="107" spans="1:24" x14ac:dyDescent="0.25">
      <c r="A107">
        <f t="shared" si="2"/>
        <v>106</v>
      </c>
      <c r="B107" s="1">
        <v>46068</v>
      </c>
      <c r="C107" s="6">
        <v>0.63541666666666663</v>
      </c>
      <c r="D107" s="2" t="s">
        <v>61</v>
      </c>
      <c r="E107">
        <v>25</v>
      </c>
      <c r="F107" s="2" t="s">
        <v>84</v>
      </c>
      <c r="G107" s="2" t="s">
        <v>222</v>
      </c>
      <c r="H107" s="2" t="s">
        <v>99</v>
      </c>
      <c r="I107" s="2" t="s">
        <v>100</v>
      </c>
      <c r="J107" s="3">
        <v>0.89</v>
      </c>
      <c r="K107" s="3">
        <v>0.81</v>
      </c>
      <c r="L107" s="3">
        <v>66.67</v>
      </c>
      <c r="M107" s="3">
        <v>8.33</v>
      </c>
      <c r="N107" s="3">
        <v>25</v>
      </c>
      <c r="O107" s="3">
        <v>16.670000000000002</v>
      </c>
      <c r="P107" s="3">
        <v>41.67</v>
      </c>
      <c r="Q107" s="3">
        <v>41.67</v>
      </c>
      <c r="R107" s="5">
        <f>IFERROR(IF(_0_00_A_PAINEL_MASTER_V20_APOSTA_ROD[[#This Row],[Met]]="Back_Casa",1,2),0)</f>
        <v>1</v>
      </c>
      <c r="S107" s="3">
        <v>1.76</v>
      </c>
      <c r="T107" s="3">
        <v>1</v>
      </c>
      <c r="U107" s="3">
        <v>0.78</v>
      </c>
      <c r="V107" s="3">
        <v>3</v>
      </c>
      <c r="W107" s="3">
        <v>2</v>
      </c>
      <c r="X107" s="3">
        <v>1</v>
      </c>
    </row>
    <row r="108" spans="1:24" x14ac:dyDescent="0.25">
      <c r="A108">
        <f t="shared" si="2"/>
        <v>107</v>
      </c>
      <c r="B108" s="1">
        <v>46068</v>
      </c>
      <c r="C108" s="6">
        <v>0.69791666666666663</v>
      </c>
      <c r="D108" s="2" t="s">
        <v>36</v>
      </c>
      <c r="E108">
        <v>22</v>
      </c>
      <c r="F108" s="2" t="s">
        <v>83</v>
      </c>
      <c r="G108" s="2" t="s">
        <v>223</v>
      </c>
      <c r="H108" s="2" t="s">
        <v>99</v>
      </c>
      <c r="I108" s="2" t="s">
        <v>100</v>
      </c>
      <c r="J108" s="3">
        <v>0.98</v>
      </c>
      <c r="K108" s="3">
        <v>0.8</v>
      </c>
      <c r="L108" s="3">
        <v>80</v>
      </c>
      <c r="M108" s="3">
        <v>0</v>
      </c>
      <c r="N108" s="3">
        <v>20</v>
      </c>
      <c r="O108" s="3">
        <v>20</v>
      </c>
      <c r="P108" s="3">
        <v>10</v>
      </c>
      <c r="Q108" s="3">
        <v>70</v>
      </c>
      <c r="R108" s="5">
        <f>IFERROR(IF(_0_00_A_PAINEL_MASTER_V20_APOSTA_ROD[[#This Row],[Met]]="Back_Casa",1,2),0)</f>
        <v>1</v>
      </c>
      <c r="S108" s="3">
        <v>1.94</v>
      </c>
      <c r="T108" s="3">
        <v>1</v>
      </c>
      <c r="U108" s="3">
        <v>0.94</v>
      </c>
      <c r="V108" s="3">
        <v>2</v>
      </c>
      <c r="W108" s="3">
        <v>0</v>
      </c>
      <c r="X108" s="3">
        <v>1</v>
      </c>
    </row>
    <row r="109" spans="1:24" x14ac:dyDescent="0.25">
      <c r="A109">
        <f t="shared" si="2"/>
        <v>108</v>
      </c>
      <c r="B109" s="1">
        <v>46070</v>
      </c>
      <c r="C109" s="6">
        <v>0.69791666666666663</v>
      </c>
      <c r="D109" s="2" t="s">
        <v>27</v>
      </c>
      <c r="E109">
        <v>33</v>
      </c>
      <c r="F109" s="2" t="s">
        <v>147</v>
      </c>
      <c r="G109" s="2" t="s">
        <v>69</v>
      </c>
      <c r="H109" s="2" t="s">
        <v>99</v>
      </c>
      <c r="I109" s="2" t="s">
        <v>100</v>
      </c>
      <c r="J109" s="3">
        <v>1.31</v>
      </c>
      <c r="K109" s="3">
        <v>0.67</v>
      </c>
      <c r="L109" s="3">
        <v>50</v>
      </c>
      <c r="M109" s="3">
        <v>21.43</v>
      </c>
      <c r="N109" s="3">
        <v>28.57</v>
      </c>
      <c r="O109" s="3">
        <v>43.75</v>
      </c>
      <c r="P109" s="3">
        <v>0</v>
      </c>
      <c r="Q109" s="3">
        <v>56.25</v>
      </c>
      <c r="R109" s="5">
        <f>IFERROR(IF(_0_00_A_PAINEL_MASTER_V20_APOSTA_ROD[[#This Row],[Met]]="Back_Casa",1,2),0)</f>
        <v>1</v>
      </c>
      <c r="S109" s="3">
        <v>1.84</v>
      </c>
      <c r="T109" s="3">
        <v>1</v>
      </c>
      <c r="U109" s="3">
        <v>0.84</v>
      </c>
      <c r="V109" s="3">
        <v>2</v>
      </c>
      <c r="W109" s="3">
        <v>1</v>
      </c>
      <c r="X109" s="3">
        <v>1</v>
      </c>
    </row>
    <row r="110" spans="1:24" x14ac:dyDescent="0.25">
      <c r="A110">
        <f t="shared" si="2"/>
        <v>109</v>
      </c>
      <c r="B110" s="1">
        <v>46073</v>
      </c>
      <c r="C110" s="6">
        <v>0.60416666666666663</v>
      </c>
      <c r="D110" s="2" t="s">
        <v>53</v>
      </c>
      <c r="E110">
        <v>23</v>
      </c>
      <c r="F110" s="2" t="s">
        <v>236</v>
      </c>
      <c r="G110" s="2" t="s">
        <v>110</v>
      </c>
      <c r="H110" s="2" t="s">
        <v>99</v>
      </c>
      <c r="I110" s="2" t="s">
        <v>100</v>
      </c>
      <c r="J110" s="3">
        <v>0.98</v>
      </c>
      <c r="K110" s="3">
        <v>0.56000000000000005</v>
      </c>
      <c r="L110" s="3">
        <v>45.45</v>
      </c>
      <c r="M110" s="3">
        <v>27.27</v>
      </c>
      <c r="N110" s="3">
        <v>27.27</v>
      </c>
      <c r="O110" s="3">
        <v>20</v>
      </c>
      <c r="P110" s="3">
        <v>10</v>
      </c>
      <c r="Q110" s="3">
        <v>70</v>
      </c>
      <c r="R110" s="5">
        <f>IFERROR(IF(_0_00_A_PAINEL_MASTER_V20_APOSTA_ROD[[#This Row],[Met]]="Back_Casa",1,2),0)</f>
        <v>1</v>
      </c>
      <c r="S110" s="3">
        <v>2.25</v>
      </c>
      <c r="T110" s="3">
        <v>1</v>
      </c>
      <c r="U110" s="3">
        <v>-1</v>
      </c>
      <c r="V110" s="3">
        <v>1</v>
      </c>
      <c r="W110" s="3">
        <v>1</v>
      </c>
      <c r="X110" s="3">
        <v>0</v>
      </c>
    </row>
    <row r="111" spans="1:24" x14ac:dyDescent="0.25">
      <c r="A111">
        <f t="shared" si="2"/>
        <v>110</v>
      </c>
      <c r="B111" s="1">
        <v>46073</v>
      </c>
      <c r="C111" s="6">
        <v>0.66666666666666663</v>
      </c>
      <c r="D111" s="2" t="s">
        <v>43</v>
      </c>
      <c r="E111">
        <v>28</v>
      </c>
      <c r="F111" s="2" t="s">
        <v>234</v>
      </c>
      <c r="G111" s="2" t="s">
        <v>235</v>
      </c>
      <c r="H111" s="2" t="s">
        <v>99</v>
      </c>
      <c r="I111" s="2" t="s">
        <v>100</v>
      </c>
      <c r="J111" s="3">
        <v>1.44</v>
      </c>
      <c r="K111" s="3">
        <v>0.87</v>
      </c>
      <c r="L111" s="3">
        <v>46.15</v>
      </c>
      <c r="M111" s="3">
        <v>23.08</v>
      </c>
      <c r="N111" s="3">
        <v>30.77</v>
      </c>
      <c r="O111" s="3">
        <v>23.08</v>
      </c>
      <c r="P111" s="3">
        <v>38.46</v>
      </c>
      <c r="Q111" s="3">
        <v>38.46</v>
      </c>
      <c r="R111" s="5">
        <f>IFERROR(IF(_0_00_A_PAINEL_MASTER_V20_APOSTA_ROD[[#This Row],[Met]]="Back_Casa",1,2),0)</f>
        <v>1</v>
      </c>
      <c r="S111" s="3">
        <v>1.67</v>
      </c>
      <c r="T111" s="3">
        <v>1</v>
      </c>
      <c r="U111" s="3">
        <v>0.67</v>
      </c>
      <c r="V111" s="3">
        <v>1</v>
      </c>
      <c r="W111" s="3">
        <v>0</v>
      </c>
      <c r="X111" s="3">
        <v>1</v>
      </c>
    </row>
    <row r="112" spans="1:24" x14ac:dyDescent="0.25">
      <c r="A112">
        <f t="shared" ref="A112:A161" si="3">1+A111</f>
        <v>111</v>
      </c>
      <c r="B112" s="1">
        <v>46073</v>
      </c>
      <c r="C112" s="6">
        <v>0.6875</v>
      </c>
      <c r="D112" s="2" t="s">
        <v>31</v>
      </c>
      <c r="E112">
        <v>27</v>
      </c>
      <c r="F112" s="2" t="s">
        <v>34</v>
      </c>
      <c r="G112" s="2" t="s">
        <v>32</v>
      </c>
      <c r="H112" s="2" t="s">
        <v>99</v>
      </c>
      <c r="I112" s="2" t="s">
        <v>100</v>
      </c>
      <c r="J112" s="3">
        <v>0.68</v>
      </c>
      <c r="K112" s="3">
        <v>0.53</v>
      </c>
      <c r="L112" s="3">
        <v>61.54</v>
      </c>
      <c r="M112" s="3">
        <v>15.38</v>
      </c>
      <c r="N112" s="3">
        <v>23.08</v>
      </c>
      <c r="O112" s="3">
        <v>25</v>
      </c>
      <c r="P112" s="3">
        <v>33.33</v>
      </c>
      <c r="Q112" s="3">
        <v>41.67</v>
      </c>
      <c r="R112" s="5">
        <f>IFERROR(IF(_0_00_A_PAINEL_MASTER_V20_APOSTA_ROD[[#This Row],[Met]]="Back_Casa",1,2),0)</f>
        <v>1</v>
      </c>
      <c r="S112" s="3">
        <v>2.65</v>
      </c>
      <c r="T112" s="3">
        <v>1</v>
      </c>
      <c r="U112" s="3">
        <v>1.65</v>
      </c>
      <c r="V112" s="3">
        <v>2</v>
      </c>
      <c r="W112" s="3">
        <v>1</v>
      </c>
      <c r="X112" s="3">
        <v>1</v>
      </c>
    </row>
    <row r="113" spans="1:24" x14ac:dyDescent="0.25">
      <c r="A113">
        <f t="shared" si="3"/>
        <v>112</v>
      </c>
      <c r="B113" s="1">
        <v>46073</v>
      </c>
      <c r="C113" s="6">
        <v>0.6875</v>
      </c>
      <c r="D113" s="2" t="s">
        <v>63</v>
      </c>
      <c r="E113">
        <v>26</v>
      </c>
      <c r="F113" s="2" t="s">
        <v>113</v>
      </c>
      <c r="G113" s="2" t="s">
        <v>192</v>
      </c>
      <c r="H113" s="2" t="s">
        <v>99</v>
      </c>
      <c r="I113" s="2" t="s">
        <v>100</v>
      </c>
      <c r="J113" s="3">
        <v>1.1000000000000001</v>
      </c>
      <c r="K113" s="3">
        <v>0.52</v>
      </c>
      <c r="L113" s="3">
        <v>63.64</v>
      </c>
      <c r="M113" s="3">
        <v>18.18</v>
      </c>
      <c r="N113" s="3">
        <v>18.18</v>
      </c>
      <c r="O113" s="3">
        <v>36.36</v>
      </c>
      <c r="P113" s="3">
        <v>0</v>
      </c>
      <c r="Q113" s="3">
        <v>63.64</v>
      </c>
      <c r="R113" s="5">
        <f>IFERROR(IF(_0_00_A_PAINEL_MASTER_V20_APOSTA_ROD[[#This Row],[Met]]="Back_Casa",1,2),0)</f>
        <v>1</v>
      </c>
      <c r="S113" s="3">
        <v>1.78</v>
      </c>
      <c r="T113" s="3">
        <v>1</v>
      </c>
      <c r="U113" s="3">
        <v>-1</v>
      </c>
      <c r="V113" s="3">
        <v>2</v>
      </c>
      <c r="W113" s="3">
        <v>2</v>
      </c>
      <c r="X113" s="3">
        <v>0</v>
      </c>
    </row>
    <row r="114" spans="1:24" x14ac:dyDescent="0.25">
      <c r="A114">
        <f t="shared" si="3"/>
        <v>113</v>
      </c>
      <c r="B114" s="1">
        <v>46073</v>
      </c>
      <c r="C114" s="6">
        <v>0.70833333333333337</v>
      </c>
      <c r="D114" s="2" t="s">
        <v>29</v>
      </c>
      <c r="E114">
        <v>25</v>
      </c>
      <c r="F114" s="2" t="s">
        <v>177</v>
      </c>
      <c r="G114" s="2" t="s">
        <v>233</v>
      </c>
      <c r="H114" s="2" t="s">
        <v>99</v>
      </c>
      <c r="I114" s="2" t="s">
        <v>100</v>
      </c>
      <c r="J114" s="3">
        <v>0.61</v>
      </c>
      <c r="K114" s="3">
        <v>0.52</v>
      </c>
      <c r="L114" s="3">
        <v>50</v>
      </c>
      <c r="M114" s="3">
        <v>16.670000000000002</v>
      </c>
      <c r="N114" s="3">
        <v>33.33</v>
      </c>
      <c r="O114" s="3">
        <v>0</v>
      </c>
      <c r="P114" s="3">
        <v>36.36</v>
      </c>
      <c r="Q114" s="3">
        <v>63.64</v>
      </c>
      <c r="R114" s="5">
        <f>IFERROR(IF(_0_00_A_PAINEL_MASTER_V20_APOSTA_ROD[[#This Row],[Met]]="Back_Casa",1,2),0)</f>
        <v>1</v>
      </c>
      <c r="S114" s="3">
        <v>1.71</v>
      </c>
      <c r="T114" s="3">
        <v>1</v>
      </c>
      <c r="U114" s="3">
        <v>0.71</v>
      </c>
      <c r="V114" s="3">
        <v>2</v>
      </c>
      <c r="W114" s="3">
        <v>1</v>
      </c>
      <c r="X114" s="3">
        <v>1</v>
      </c>
    </row>
    <row r="115" spans="1:24" x14ac:dyDescent="0.25">
      <c r="A115">
        <f t="shared" si="3"/>
        <v>114</v>
      </c>
      <c r="B115" s="1">
        <v>46074</v>
      </c>
      <c r="C115" s="6">
        <v>0.375</v>
      </c>
      <c r="D115" s="2" t="s">
        <v>53</v>
      </c>
      <c r="E115">
        <v>23</v>
      </c>
      <c r="F115" s="2" t="s">
        <v>109</v>
      </c>
      <c r="G115" s="2" t="s">
        <v>115</v>
      </c>
      <c r="H115" s="2" t="s">
        <v>99</v>
      </c>
      <c r="I115" s="2" t="s">
        <v>100</v>
      </c>
      <c r="J115" s="3">
        <v>1.38</v>
      </c>
      <c r="K115" s="3">
        <v>0.56999999999999995</v>
      </c>
      <c r="L115" s="3">
        <v>72.73</v>
      </c>
      <c r="M115" s="3">
        <v>27.27</v>
      </c>
      <c r="N115" s="3">
        <v>0</v>
      </c>
      <c r="O115" s="3">
        <v>30</v>
      </c>
      <c r="P115" s="3">
        <v>10</v>
      </c>
      <c r="Q115" s="3">
        <v>60</v>
      </c>
      <c r="R115" s="5">
        <f>IFERROR(IF(_0_00_A_PAINEL_MASTER_V20_APOSTA_ROD[[#This Row],[Met]]="Back_Casa",1,2),0)</f>
        <v>1</v>
      </c>
      <c r="S115" s="3">
        <v>2.04</v>
      </c>
      <c r="T115" s="3">
        <v>1</v>
      </c>
      <c r="U115" s="3">
        <v>1.04</v>
      </c>
      <c r="V115" s="3">
        <v>2</v>
      </c>
      <c r="W115" s="3">
        <v>1</v>
      </c>
      <c r="X115" s="3">
        <v>1</v>
      </c>
    </row>
    <row r="116" spans="1:24" x14ac:dyDescent="0.25">
      <c r="A116">
        <f t="shared" si="3"/>
        <v>115</v>
      </c>
      <c r="B116" s="1">
        <v>46074</v>
      </c>
      <c r="C116" s="6">
        <v>0.39583333333333331</v>
      </c>
      <c r="D116" s="2" t="s">
        <v>27</v>
      </c>
      <c r="E116">
        <v>34</v>
      </c>
      <c r="F116" s="2" t="s">
        <v>172</v>
      </c>
      <c r="G116" s="2" t="s">
        <v>164</v>
      </c>
      <c r="H116" s="2" t="s">
        <v>102</v>
      </c>
      <c r="I116" s="2" t="s">
        <v>103</v>
      </c>
      <c r="J116" s="3">
        <v>0.6</v>
      </c>
      <c r="K116" s="3">
        <v>0.76</v>
      </c>
      <c r="L116" s="3">
        <v>31.25</v>
      </c>
      <c r="M116" s="3">
        <v>18.75</v>
      </c>
      <c r="N116" s="3">
        <v>50</v>
      </c>
      <c r="O116" s="3">
        <v>46.67</v>
      </c>
      <c r="P116" s="3">
        <v>33.33</v>
      </c>
      <c r="Q116" s="3">
        <v>20</v>
      </c>
      <c r="R116" s="5">
        <f>IFERROR(IF(_0_00_A_PAINEL_MASTER_V20_APOSTA_ROD[[#This Row],[Met]]="Back_Casa",1,2),0)</f>
        <v>2</v>
      </c>
      <c r="S116" s="3">
        <v>2.35</v>
      </c>
      <c r="T116" s="3">
        <v>1</v>
      </c>
      <c r="U116" s="3">
        <v>-1</v>
      </c>
      <c r="V116" s="3">
        <v>3</v>
      </c>
      <c r="W116" s="3">
        <v>1</v>
      </c>
      <c r="X116" s="3">
        <v>1</v>
      </c>
    </row>
    <row r="117" spans="1:24" x14ac:dyDescent="0.25">
      <c r="A117">
        <f t="shared" si="3"/>
        <v>116</v>
      </c>
      <c r="B117" s="1">
        <v>46074</v>
      </c>
      <c r="C117" s="6">
        <v>0.39583333333333331</v>
      </c>
      <c r="D117" s="2" t="s">
        <v>27</v>
      </c>
      <c r="E117">
        <v>34</v>
      </c>
      <c r="F117" s="2" t="s">
        <v>70</v>
      </c>
      <c r="G117" s="2" t="s">
        <v>148</v>
      </c>
      <c r="H117" s="2" t="s">
        <v>99</v>
      </c>
      <c r="I117" s="2" t="s">
        <v>100</v>
      </c>
      <c r="J117" s="3">
        <v>1.05</v>
      </c>
      <c r="K117" s="3">
        <v>0.53</v>
      </c>
      <c r="L117" s="3">
        <v>56.25</v>
      </c>
      <c r="M117" s="3">
        <v>18.75</v>
      </c>
      <c r="N117" s="3">
        <v>25</v>
      </c>
      <c r="O117" s="3">
        <v>31.25</v>
      </c>
      <c r="P117" s="3">
        <v>18.75</v>
      </c>
      <c r="Q117" s="3">
        <v>50</v>
      </c>
      <c r="R117" s="5">
        <f>IFERROR(IF(_0_00_A_PAINEL_MASTER_V20_APOSTA_ROD[[#This Row],[Met]]="Back_Casa",1,2),0)</f>
        <v>1</v>
      </c>
      <c r="S117" s="3">
        <v>2.08</v>
      </c>
      <c r="T117" s="3">
        <v>1</v>
      </c>
      <c r="U117" s="3">
        <v>1.08</v>
      </c>
      <c r="V117" s="3">
        <v>2</v>
      </c>
      <c r="W117" s="3">
        <v>1</v>
      </c>
      <c r="X117" s="3">
        <v>1</v>
      </c>
    </row>
    <row r="118" spans="1:24" x14ac:dyDescent="0.25">
      <c r="A118">
        <f t="shared" si="3"/>
        <v>117</v>
      </c>
      <c r="B118" s="1">
        <v>46074</v>
      </c>
      <c r="C118" s="6">
        <v>0.41666666666666669</v>
      </c>
      <c r="D118" s="2" t="s">
        <v>48</v>
      </c>
      <c r="E118">
        <v>23</v>
      </c>
      <c r="F118" s="2" t="s">
        <v>237</v>
      </c>
      <c r="G118" s="2" t="s">
        <v>49</v>
      </c>
      <c r="H118" s="2" t="s">
        <v>102</v>
      </c>
      <c r="I118" s="2" t="s">
        <v>103</v>
      </c>
      <c r="J118" s="3">
        <v>0.56000000000000005</v>
      </c>
      <c r="K118" s="3">
        <v>1.03</v>
      </c>
      <c r="L118" s="3">
        <v>36.36</v>
      </c>
      <c r="M118" s="3">
        <v>27.27</v>
      </c>
      <c r="N118" s="3">
        <v>36.36</v>
      </c>
      <c r="O118" s="3">
        <v>54.55</v>
      </c>
      <c r="P118" s="3">
        <v>9.09</v>
      </c>
      <c r="Q118" s="3">
        <v>36.36</v>
      </c>
      <c r="R118" s="5">
        <f>IFERROR(IF(_0_00_A_PAINEL_MASTER_V20_APOSTA_ROD[[#This Row],[Met]]="Back_Casa",1,2),0)</f>
        <v>2</v>
      </c>
      <c r="S118" s="3">
        <v>2.37</v>
      </c>
      <c r="T118" s="3">
        <v>1</v>
      </c>
      <c r="U118" s="3">
        <v>1.37</v>
      </c>
      <c r="V118" s="3">
        <v>1</v>
      </c>
      <c r="W118" s="3">
        <v>2</v>
      </c>
      <c r="X118" s="3">
        <v>2</v>
      </c>
    </row>
    <row r="119" spans="1:24" x14ac:dyDescent="0.25">
      <c r="A119">
        <f t="shared" si="3"/>
        <v>118</v>
      </c>
      <c r="B119" s="1">
        <v>46074</v>
      </c>
      <c r="C119" s="6">
        <v>0.41666666666666669</v>
      </c>
      <c r="D119" s="2" t="s">
        <v>50</v>
      </c>
      <c r="E119">
        <v>25</v>
      </c>
      <c r="F119" s="2" t="s">
        <v>116</v>
      </c>
      <c r="G119" s="2" t="s">
        <v>190</v>
      </c>
      <c r="H119" s="2" t="s">
        <v>99</v>
      </c>
      <c r="I119" s="2" t="s">
        <v>100</v>
      </c>
      <c r="J119" s="3">
        <v>1.31</v>
      </c>
      <c r="K119" s="3">
        <v>0.4</v>
      </c>
      <c r="L119" s="3">
        <v>72.73</v>
      </c>
      <c r="M119" s="3">
        <v>27.27</v>
      </c>
      <c r="N119" s="3">
        <v>0</v>
      </c>
      <c r="O119" s="3">
        <v>8.33</v>
      </c>
      <c r="P119" s="3">
        <v>0</v>
      </c>
      <c r="Q119" s="3">
        <v>91.67</v>
      </c>
      <c r="R119" s="5">
        <f>IFERROR(IF(_0_00_A_PAINEL_MASTER_V20_APOSTA_ROD[[#This Row],[Met]]="Back_Casa",1,2),0)</f>
        <v>1</v>
      </c>
      <c r="S119" s="3">
        <v>1.4</v>
      </c>
      <c r="T119" s="3">
        <v>1</v>
      </c>
      <c r="U119" s="3">
        <v>0.4</v>
      </c>
      <c r="V119" s="3">
        <v>3</v>
      </c>
      <c r="W119" s="3">
        <v>1</v>
      </c>
      <c r="X119" s="3">
        <v>0</v>
      </c>
    </row>
    <row r="120" spans="1:24" x14ac:dyDescent="0.25">
      <c r="A120">
        <f t="shared" si="3"/>
        <v>119</v>
      </c>
      <c r="B120" s="1">
        <v>46074</v>
      </c>
      <c r="C120" s="6">
        <v>0.45833333333333331</v>
      </c>
      <c r="D120" s="2" t="s">
        <v>201</v>
      </c>
      <c r="E120">
        <v>23</v>
      </c>
      <c r="F120" s="2" t="s">
        <v>227</v>
      </c>
      <c r="G120" s="2" t="s">
        <v>228</v>
      </c>
      <c r="H120" s="2" t="s">
        <v>99</v>
      </c>
      <c r="I120" s="2" t="s">
        <v>100</v>
      </c>
      <c r="J120" s="3">
        <v>0.94</v>
      </c>
      <c r="K120" s="3">
        <v>0.48</v>
      </c>
      <c r="L120" s="3">
        <v>50</v>
      </c>
      <c r="M120" s="3">
        <v>30</v>
      </c>
      <c r="N120" s="3">
        <v>20</v>
      </c>
      <c r="O120" s="3">
        <v>36.36</v>
      </c>
      <c r="P120" s="3">
        <v>18.18</v>
      </c>
      <c r="Q120" s="3">
        <v>45.45</v>
      </c>
      <c r="R120" s="5">
        <f>IFERROR(IF(_0_00_A_PAINEL_MASTER_V20_APOSTA_ROD[[#This Row],[Met]]="Back_Casa",1,2),0)</f>
        <v>1</v>
      </c>
      <c r="S120" s="3">
        <v>1.85</v>
      </c>
      <c r="T120" s="3">
        <v>1</v>
      </c>
      <c r="U120" s="3">
        <v>-1</v>
      </c>
      <c r="V120" s="3">
        <v>0</v>
      </c>
      <c r="W120" s="3">
        <v>0</v>
      </c>
      <c r="X120" s="3">
        <v>0</v>
      </c>
    </row>
    <row r="121" spans="1:24" x14ac:dyDescent="0.25">
      <c r="A121">
        <f t="shared" si="3"/>
        <v>120</v>
      </c>
      <c r="B121" s="1">
        <v>46074</v>
      </c>
      <c r="C121" s="6">
        <v>0.5</v>
      </c>
      <c r="D121" s="2" t="s">
        <v>20</v>
      </c>
      <c r="E121">
        <v>27</v>
      </c>
      <c r="F121" s="2" t="s">
        <v>64</v>
      </c>
      <c r="G121" s="2" t="s">
        <v>211</v>
      </c>
      <c r="H121" s="2" t="s">
        <v>99</v>
      </c>
      <c r="I121" s="2" t="s">
        <v>100</v>
      </c>
      <c r="J121" s="3">
        <v>0.86</v>
      </c>
      <c r="K121" s="3">
        <v>0.59</v>
      </c>
      <c r="L121" s="3">
        <v>69.23</v>
      </c>
      <c r="M121" s="3">
        <v>7.69</v>
      </c>
      <c r="N121" s="3">
        <v>23.08</v>
      </c>
      <c r="O121" s="3">
        <v>7.69</v>
      </c>
      <c r="P121" s="3">
        <v>38.46</v>
      </c>
      <c r="Q121" s="3">
        <v>53.85</v>
      </c>
      <c r="R121" s="5">
        <f>IFERROR(IF(_0_00_A_PAINEL_MASTER_V20_APOSTA_ROD[[#This Row],[Met]]="Back_Casa",1,2),0)</f>
        <v>1</v>
      </c>
      <c r="S121" s="3">
        <v>1.88</v>
      </c>
      <c r="T121" s="3">
        <v>1</v>
      </c>
      <c r="U121" s="3">
        <v>-1</v>
      </c>
      <c r="V121" s="3">
        <v>1</v>
      </c>
      <c r="W121" s="3">
        <v>1</v>
      </c>
      <c r="X121" s="3">
        <v>0</v>
      </c>
    </row>
    <row r="122" spans="1:24" x14ac:dyDescent="0.25">
      <c r="A122">
        <f t="shared" si="3"/>
        <v>121</v>
      </c>
      <c r="B122" s="1">
        <v>46074</v>
      </c>
      <c r="C122" s="6">
        <v>0.5</v>
      </c>
      <c r="D122" s="2" t="s">
        <v>27</v>
      </c>
      <c r="E122">
        <v>34</v>
      </c>
      <c r="F122" s="2" t="s">
        <v>188</v>
      </c>
      <c r="G122" s="2" t="s">
        <v>147</v>
      </c>
      <c r="H122" s="2" t="s">
        <v>99</v>
      </c>
      <c r="I122" s="2" t="s">
        <v>100</v>
      </c>
      <c r="J122" s="3">
        <v>1.05</v>
      </c>
      <c r="K122" s="3">
        <v>0.65</v>
      </c>
      <c r="L122" s="3">
        <v>56.25</v>
      </c>
      <c r="M122" s="3">
        <v>31.25</v>
      </c>
      <c r="N122" s="3">
        <v>12.5</v>
      </c>
      <c r="O122" s="3">
        <v>18.75</v>
      </c>
      <c r="P122" s="3">
        <v>43.75</v>
      </c>
      <c r="Q122" s="3">
        <v>37.5</v>
      </c>
      <c r="R122" s="5">
        <f>IFERROR(IF(_0_00_A_PAINEL_MASTER_V20_APOSTA_ROD[[#This Row],[Met]]="Back_Casa",1,2),0)</f>
        <v>1</v>
      </c>
      <c r="S122" s="3">
        <v>1.89</v>
      </c>
      <c r="T122" s="3">
        <v>1</v>
      </c>
      <c r="U122" s="3">
        <v>0.89</v>
      </c>
      <c r="V122" s="3">
        <v>2</v>
      </c>
      <c r="W122" s="3">
        <v>1</v>
      </c>
      <c r="X122" s="3">
        <v>1</v>
      </c>
    </row>
    <row r="123" spans="1:24" x14ac:dyDescent="0.25">
      <c r="A123">
        <f t="shared" si="3"/>
        <v>122</v>
      </c>
      <c r="B123" s="1">
        <v>46074</v>
      </c>
      <c r="C123" s="6">
        <v>0.5</v>
      </c>
      <c r="D123" s="2" t="s">
        <v>27</v>
      </c>
      <c r="E123">
        <v>34</v>
      </c>
      <c r="F123" s="2" t="s">
        <v>171</v>
      </c>
      <c r="G123" s="2" t="s">
        <v>163</v>
      </c>
      <c r="H123" s="2" t="s">
        <v>99</v>
      </c>
      <c r="I123" s="2" t="s">
        <v>100</v>
      </c>
      <c r="J123" s="3">
        <v>0.76</v>
      </c>
      <c r="K123" s="3">
        <v>0.59</v>
      </c>
      <c r="L123" s="3">
        <v>50</v>
      </c>
      <c r="M123" s="3">
        <v>25</v>
      </c>
      <c r="N123" s="3">
        <v>25</v>
      </c>
      <c r="O123" s="3">
        <v>12.5</v>
      </c>
      <c r="P123" s="3">
        <v>43.75</v>
      </c>
      <c r="Q123" s="3">
        <v>43.75</v>
      </c>
      <c r="R123" s="5">
        <f>IFERROR(IF(_0_00_A_PAINEL_MASTER_V20_APOSTA_ROD[[#This Row],[Met]]="Back_Casa",1,2),0)</f>
        <v>1</v>
      </c>
      <c r="S123" s="3">
        <v>1.68</v>
      </c>
      <c r="T123" s="3">
        <v>1</v>
      </c>
      <c r="U123" s="3">
        <v>0.68</v>
      </c>
      <c r="V123" s="3">
        <v>3</v>
      </c>
      <c r="W123" s="3">
        <v>2</v>
      </c>
      <c r="X123" s="3">
        <v>1</v>
      </c>
    </row>
    <row r="124" spans="1:24" x14ac:dyDescent="0.25">
      <c r="A124">
        <f t="shared" si="3"/>
        <v>123</v>
      </c>
      <c r="B124" s="1">
        <v>46074</v>
      </c>
      <c r="C124" s="6">
        <v>0.5</v>
      </c>
      <c r="D124" s="2" t="s">
        <v>21</v>
      </c>
      <c r="E124">
        <v>33</v>
      </c>
      <c r="F124" s="2" t="s">
        <v>239</v>
      </c>
      <c r="G124" s="2" t="s">
        <v>134</v>
      </c>
      <c r="H124" s="2" t="s">
        <v>99</v>
      </c>
      <c r="I124" s="2" t="s">
        <v>100</v>
      </c>
      <c r="J124" s="3">
        <v>0.77</v>
      </c>
      <c r="K124" s="3">
        <v>0.45</v>
      </c>
      <c r="L124" s="3">
        <v>46.67</v>
      </c>
      <c r="M124" s="3">
        <v>33.33</v>
      </c>
      <c r="N124" s="3">
        <v>20</v>
      </c>
      <c r="O124" s="3">
        <v>18.75</v>
      </c>
      <c r="P124" s="3">
        <v>31.25</v>
      </c>
      <c r="Q124" s="3">
        <v>50</v>
      </c>
      <c r="R124" s="5">
        <f>IFERROR(IF(_0_00_A_PAINEL_MASTER_V20_APOSTA_ROD[[#This Row],[Met]]="Back_Casa",1,2),0)</f>
        <v>1</v>
      </c>
      <c r="S124" s="3">
        <v>1.55</v>
      </c>
      <c r="T124" s="3">
        <v>1</v>
      </c>
      <c r="U124" s="3">
        <v>-1</v>
      </c>
      <c r="V124" s="3">
        <v>1</v>
      </c>
      <c r="W124" s="3">
        <v>1</v>
      </c>
      <c r="X124" s="3">
        <v>0</v>
      </c>
    </row>
    <row r="125" spans="1:24" x14ac:dyDescent="0.25">
      <c r="A125">
        <f t="shared" si="3"/>
        <v>124</v>
      </c>
      <c r="B125" s="1">
        <v>46074</v>
      </c>
      <c r="C125" s="6">
        <v>0.5</v>
      </c>
      <c r="D125" s="2" t="s">
        <v>21</v>
      </c>
      <c r="E125">
        <v>33</v>
      </c>
      <c r="F125" s="2" t="s">
        <v>67</v>
      </c>
      <c r="G125" s="2" t="s">
        <v>241</v>
      </c>
      <c r="H125" s="2" t="s">
        <v>99</v>
      </c>
      <c r="I125" s="2" t="s">
        <v>100</v>
      </c>
      <c r="J125" s="3">
        <v>0.73</v>
      </c>
      <c r="K125" s="3">
        <v>0.32</v>
      </c>
      <c r="L125" s="3">
        <v>56.25</v>
      </c>
      <c r="M125" s="3">
        <v>18.75</v>
      </c>
      <c r="N125" s="3">
        <v>25</v>
      </c>
      <c r="O125" s="3">
        <v>13.33</v>
      </c>
      <c r="P125" s="3">
        <v>40</v>
      </c>
      <c r="Q125" s="3">
        <v>46.67</v>
      </c>
      <c r="R125" s="5">
        <f>IFERROR(IF(_0_00_A_PAINEL_MASTER_V20_APOSTA_ROD[[#This Row],[Met]]="Back_Casa",1,2),0)</f>
        <v>1</v>
      </c>
      <c r="S125" s="3">
        <v>1.84</v>
      </c>
      <c r="T125" s="3">
        <v>1</v>
      </c>
      <c r="U125" s="3">
        <v>-1</v>
      </c>
      <c r="V125" s="3">
        <v>1</v>
      </c>
      <c r="W125" s="3">
        <v>3</v>
      </c>
      <c r="X125" s="3">
        <v>2</v>
      </c>
    </row>
    <row r="126" spans="1:24" x14ac:dyDescent="0.25">
      <c r="A126">
        <f t="shared" si="3"/>
        <v>125</v>
      </c>
      <c r="B126" s="1">
        <v>46074</v>
      </c>
      <c r="C126" s="6">
        <v>0.5</v>
      </c>
      <c r="D126" s="2" t="s">
        <v>27</v>
      </c>
      <c r="E126">
        <v>34</v>
      </c>
      <c r="F126" s="2" t="s">
        <v>149</v>
      </c>
      <c r="G126" s="2" t="s">
        <v>108</v>
      </c>
      <c r="H126" s="2" t="s">
        <v>99</v>
      </c>
      <c r="I126" s="2" t="s">
        <v>100</v>
      </c>
      <c r="J126" s="3">
        <v>0.77</v>
      </c>
      <c r="K126" s="3">
        <v>0.53</v>
      </c>
      <c r="L126" s="3">
        <v>56.25</v>
      </c>
      <c r="M126" s="3">
        <v>25</v>
      </c>
      <c r="N126" s="3">
        <v>18.75</v>
      </c>
      <c r="O126" s="3">
        <v>18.75</v>
      </c>
      <c r="P126" s="3">
        <v>37.5</v>
      </c>
      <c r="Q126" s="3">
        <v>43.75</v>
      </c>
      <c r="R126" s="5">
        <f>IFERROR(IF(_0_00_A_PAINEL_MASTER_V20_APOSTA_ROD[[#This Row],[Met]]="Back_Casa",1,2),0)</f>
        <v>1</v>
      </c>
      <c r="S126" s="3" t="s">
        <v>247</v>
      </c>
      <c r="T126" s="3">
        <v>1</v>
      </c>
      <c r="U126" s="3">
        <v>-1</v>
      </c>
      <c r="V126" s="3">
        <v>1</v>
      </c>
      <c r="W126" s="3">
        <v>1</v>
      </c>
      <c r="X126" s="3">
        <v>0</v>
      </c>
    </row>
    <row r="127" spans="1:24" x14ac:dyDescent="0.25">
      <c r="A127">
        <f t="shared" si="3"/>
        <v>126</v>
      </c>
      <c r="B127" s="1">
        <v>46074</v>
      </c>
      <c r="C127" s="6">
        <v>0.51041666666666663</v>
      </c>
      <c r="D127" s="2" t="s">
        <v>29</v>
      </c>
      <c r="E127">
        <v>25</v>
      </c>
      <c r="F127" s="2" t="s">
        <v>158</v>
      </c>
      <c r="G127" s="2" t="s">
        <v>238</v>
      </c>
      <c r="H127" s="2" t="s">
        <v>99</v>
      </c>
      <c r="I127" s="2" t="s">
        <v>100</v>
      </c>
      <c r="J127" s="3">
        <v>1.1299999999999999</v>
      </c>
      <c r="K127" s="3">
        <v>0.46</v>
      </c>
      <c r="L127" s="3">
        <v>63.64</v>
      </c>
      <c r="M127" s="3">
        <v>9.09</v>
      </c>
      <c r="N127" s="3">
        <v>27.27</v>
      </c>
      <c r="O127" s="3">
        <v>25</v>
      </c>
      <c r="P127" s="3">
        <v>8.33</v>
      </c>
      <c r="Q127" s="3">
        <v>66.67</v>
      </c>
      <c r="R127" s="5">
        <f>IFERROR(IF(_0_00_A_PAINEL_MASTER_V20_APOSTA_ROD[[#This Row],[Met]]="Back_Casa",1,2),0)</f>
        <v>1</v>
      </c>
      <c r="S127" s="3">
        <v>1.93</v>
      </c>
      <c r="T127" s="3">
        <v>1</v>
      </c>
      <c r="U127" s="3">
        <v>-1</v>
      </c>
      <c r="V127" s="3">
        <v>1</v>
      </c>
      <c r="W127" s="3">
        <v>1</v>
      </c>
      <c r="X127" s="3">
        <v>0</v>
      </c>
    </row>
    <row r="128" spans="1:24" x14ac:dyDescent="0.25">
      <c r="A128">
        <f t="shared" si="3"/>
        <v>127</v>
      </c>
      <c r="B128" s="1">
        <v>46075</v>
      </c>
      <c r="C128" s="6">
        <v>0.39583333333333331</v>
      </c>
      <c r="D128" s="2" t="s">
        <v>53</v>
      </c>
      <c r="E128">
        <v>23</v>
      </c>
      <c r="F128" s="2" t="s">
        <v>114</v>
      </c>
      <c r="G128" s="2" t="s">
        <v>200</v>
      </c>
      <c r="H128" s="2" t="s">
        <v>99</v>
      </c>
      <c r="I128" s="2" t="s">
        <v>100</v>
      </c>
      <c r="J128" s="3">
        <v>1.07</v>
      </c>
      <c r="K128" s="3">
        <v>0.9</v>
      </c>
      <c r="L128" s="3">
        <v>60</v>
      </c>
      <c r="M128" s="3">
        <v>10</v>
      </c>
      <c r="N128" s="3">
        <v>30</v>
      </c>
      <c r="O128" s="3">
        <v>27.27</v>
      </c>
      <c r="P128" s="3">
        <v>27.27</v>
      </c>
      <c r="Q128" s="3">
        <v>45.45</v>
      </c>
      <c r="R128" s="5">
        <f>IFERROR(IF(_0_00_A_PAINEL_MASTER_V20_APOSTA_ROD[[#This Row],[Met]]="Back_Casa",1,2),0)</f>
        <v>1</v>
      </c>
      <c r="S128" s="3">
        <v>1.46</v>
      </c>
      <c r="T128" s="3">
        <v>1</v>
      </c>
      <c r="U128" s="3">
        <v>-1</v>
      </c>
      <c r="V128" s="3">
        <v>0</v>
      </c>
      <c r="W128" s="3">
        <v>0</v>
      </c>
      <c r="X128" s="3">
        <v>0</v>
      </c>
    </row>
    <row r="129" spans="1:24" x14ac:dyDescent="0.25">
      <c r="A129">
        <f t="shared" si="3"/>
        <v>128</v>
      </c>
      <c r="B129" s="1">
        <v>46075</v>
      </c>
      <c r="C129" s="6">
        <v>0.41666666666666669</v>
      </c>
      <c r="D129" s="2" t="s">
        <v>48</v>
      </c>
      <c r="E129">
        <v>23</v>
      </c>
      <c r="F129" s="2" t="s">
        <v>242</v>
      </c>
      <c r="G129" s="2" t="s">
        <v>142</v>
      </c>
      <c r="H129" s="2" t="s">
        <v>102</v>
      </c>
      <c r="I129" s="2" t="s">
        <v>103</v>
      </c>
      <c r="J129" s="3">
        <v>0.78</v>
      </c>
      <c r="K129" s="3">
        <v>1.19</v>
      </c>
      <c r="L129" s="3">
        <v>36.36</v>
      </c>
      <c r="M129" s="3">
        <v>27.27</v>
      </c>
      <c r="N129" s="3">
        <v>36.36</v>
      </c>
      <c r="O129" s="3">
        <v>63.64</v>
      </c>
      <c r="P129" s="3">
        <v>18.18</v>
      </c>
      <c r="Q129" s="3">
        <v>18.18</v>
      </c>
      <c r="R129" s="5">
        <f>IFERROR(IF(_0_00_A_PAINEL_MASTER_V20_APOSTA_ROD[[#This Row],[Met]]="Back_Casa",1,2),0)</f>
        <v>2</v>
      </c>
      <c r="S129" s="3">
        <v>1.98</v>
      </c>
      <c r="T129" s="3">
        <v>1</v>
      </c>
      <c r="U129" s="3">
        <v>0.98</v>
      </c>
      <c r="V129" s="3">
        <v>1</v>
      </c>
      <c r="W129" s="3">
        <v>2</v>
      </c>
      <c r="X129" s="3">
        <v>2</v>
      </c>
    </row>
    <row r="130" spans="1:24" x14ac:dyDescent="0.25">
      <c r="A130">
        <f t="shared" si="3"/>
        <v>129</v>
      </c>
      <c r="B130" s="1">
        <v>46075</v>
      </c>
      <c r="C130" s="6">
        <v>0.41666666666666669</v>
      </c>
      <c r="D130" s="2" t="s">
        <v>31</v>
      </c>
      <c r="E130">
        <v>27</v>
      </c>
      <c r="F130" s="2" t="s">
        <v>35</v>
      </c>
      <c r="G130" s="2" t="s">
        <v>76</v>
      </c>
      <c r="H130" s="2" t="s">
        <v>99</v>
      </c>
      <c r="I130" s="2" t="s">
        <v>100</v>
      </c>
      <c r="J130" s="3">
        <v>0.82</v>
      </c>
      <c r="K130" s="3">
        <v>0.51</v>
      </c>
      <c r="L130" s="3">
        <v>53.85</v>
      </c>
      <c r="M130" s="3">
        <v>23.08</v>
      </c>
      <c r="N130" s="3">
        <v>23.08</v>
      </c>
      <c r="O130" s="3">
        <v>30.77</v>
      </c>
      <c r="P130" s="3">
        <v>23.08</v>
      </c>
      <c r="Q130" s="3">
        <v>46.15</v>
      </c>
      <c r="R130" s="5">
        <f>IFERROR(IF(_0_00_A_PAINEL_MASTER_V20_APOSTA_ROD[[#This Row],[Met]]="Back_Casa",1,2),0)</f>
        <v>1</v>
      </c>
      <c r="S130" s="3">
        <v>2.06</v>
      </c>
      <c r="T130" s="3">
        <v>1</v>
      </c>
      <c r="U130" s="3">
        <v>-1</v>
      </c>
      <c r="V130" s="3">
        <v>2</v>
      </c>
      <c r="W130" s="3">
        <v>2</v>
      </c>
      <c r="X130" s="3">
        <v>0</v>
      </c>
    </row>
    <row r="131" spans="1:24" x14ac:dyDescent="0.25">
      <c r="A131">
        <f t="shared" si="3"/>
        <v>130</v>
      </c>
      <c r="B131" s="1">
        <v>46075</v>
      </c>
      <c r="C131" s="6">
        <v>0.41666666666666669</v>
      </c>
      <c r="D131" s="2" t="s">
        <v>45</v>
      </c>
      <c r="E131">
        <v>28</v>
      </c>
      <c r="F131" s="2" t="s">
        <v>131</v>
      </c>
      <c r="G131" s="2" t="s">
        <v>226</v>
      </c>
      <c r="H131" s="2" t="s">
        <v>99</v>
      </c>
      <c r="I131" s="2" t="s">
        <v>100</v>
      </c>
      <c r="J131" s="3">
        <v>0.63</v>
      </c>
      <c r="K131" s="3">
        <v>0.56000000000000005</v>
      </c>
      <c r="L131" s="3">
        <v>53.85</v>
      </c>
      <c r="M131" s="3">
        <v>15.38</v>
      </c>
      <c r="N131" s="3">
        <v>30.77</v>
      </c>
      <c r="O131" s="3">
        <v>23.08</v>
      </c>
      <c r="P131" s="3">
        <v>23.08</v>
      </c>
      <c r="Q131" s="3">
        <v>53.85</v>
      </c>
      <c r="R131" s="5">
        <f>IFERROR(IF(_0_00_A_PAINEL_MASTER_V20_APOSTA_ROD[[#This Row],[Met]]="Back_Casa",1,2),0)</f>
        <v>1</v>
      </c>
      <c r="S131" s="3">
        <v>2.2599999999999998</v>
      </c>
      <c r="T131" s="3">
        <v>1</v>
      </c>
      <c r="U131" s="3">
        <v>1.26</v>
      </c>
      <c r="V131" s="3">
        <v>1</v>
      </c>
      <c r="W131" s="3">
        <v>0</v>
      </c>
      <c r="X131" s="3">
        <v>1</v>
      </c>
    </row>
    <row r="132" spans="1:24" x14ac:dyDescent="0.25">
      <c r="A132">
        <f t="shared" si="3"/>
        <v>131</v>
      </c>
      <c r="B132" s="1">
        <v>46075</v>
      </c>
      <c r="C132" s="6">
        <v>0.4375</v>
      </c>
      <c r="D132" s="2" t="s">
        <v>41</v>
      </c>
      <c r="E132">
        <v>24</v>
      </c>
      <c r="F132" s="2" t="s">
        <v>246</v>
      </c>
      <c r="G132" s="2" t="s">
        <v>124</v>
      </c>
      <c r="H132" s="2" t="s">
        <v>99</v>
      </c>
      <c r="I132" s="2" t="s">
        <v>100</v>
      </c>
      <c r="J132" s="3">
        <v>0.98</v>
      </c>
      <c r="K132" s="3">
        <v>0.91</v>
      </c>
      <c r="L132" s="3">
        <v>45.45</v>
      </c>
      <c r="M132" s="3">
        <v>18.18</v>
      </c>
      <c r="N132" s="3">
        <v>36.36</v>
      </c>
      <c r="O132" s="3">
        <v>8.33</v>
      </c>
      <c r="P132" s="3">
        <v>33.33</v>
      </c>
      <c r="Q132" s="3">
        <v>58.33</v>
      </c>
      <c r="R132" s="5">
        <f>IFERROR(IF(_0_00_A_PAINEL_MASTER_V20_APOSTA_ROD[[#This Row],[Met]]="Back_Casa",1,2),0)</f>
        <v>1</v>
      </c>
      <c r="S132" s="3">
        <v>1.65</v>
      </c>
      <c r="T132" s="3">
        <v>1</v>
      </c>
      <c r="U132" s="3">
        <v>-1</v>
      </c>
      <c r="V132" s="3">
        <v>1</v>
      </c>
      <c r="W132" s="3">
        <v>1</v>
      </c>
      <c r="X132" s="3">
        <v>0</v>
      </c>
    </row>
    <row r="133" spans="1:24" x14ac:dyDescent="0.25">
      <c r="A133">
        <f t="shared" si="3"/>
        <v>132</v>
      </c>
      <c r="B133" s="1">
        <v>46075</v>
      </c>
      <c r="C133" s="6">
        <v>0.45833333333333331</v>
      </c>
      <c r="D133" s="2" t="s">
        <v>20</v>
      </c>
      <c r="E133">
        <v>27</v>
      </c>
      <c r="F133" s="2" t="s">
        <v>243</v>
      </c>
      <c r="G133" s="2" t="s">
        <v>244</v>
      </c>
      <c r="H133" s="2" t="s">
        <v>102</v>
      </c>
      <c r="I133" s="2" t="s">
        <v>103</v>
      </c>
      <c r="J133" s="3">
        <v>0.56000000000000005</v>
      </c>
      <c r="K133" s="3">
        <v>0.96</v>
      </c>
      <c r="L133" s="3">
        <v>23.08</v>
      </c>
      <c r="M133" s="3">
        <v>30.77</v>
      </c>
      <c r="N133" s="3">
        <v>46.15</v>
      </c>
      <c r="O133" s="3">
        <v>38.46</v>
      </c>
      <c r="P133" s="3">
        <v>23.08</v>
      </c>
      <c r="Q133" s="3">
        <v>38.46</v>
      </c>
      <c r="R133" s="5">
        <f>IFERROR(IF(_0_00_A_PAINEL_MASTER_V20_APOSTA_ROD[[#This Row],[Met]]="Back_Casa",1,2),0)</f>
        <v>2</v>
      </c>
      <c r="S133" s="3">
        <v>1.92</v>
      </c>
      <c r="T133" s="3">
        <v>1</v>
      </c>
      <c r="U133" s="3">
        <v>0.92</v>
      </c>
      <c r="V133" s="3">
        <v>0</v>
      </c>
      <c r="W133" s="3">
        <v>1</v>
      </c>
      <c r="X133" s="3">
        <v>2</v>
      </c>
    </row>
    <row r="134" spans="1:24" x14ac:dyDescent="0.25">
      <c r="A134">
        <f t="shared" si="3"/>
        <v>133</v>
      </c>
      <c r="B134" s="1">
        <v>46075</v>
      </c>
      <c r="C134" s="6">
        <v>0.47916666666666669</v>
      </c>
      <c r="D134" s="2" t="s">
        <v>42</v>
      </c>
      <c r="E134">
        <v>23</v>
      </c>
      <c r="F134" s="2" t="s">
        <v>44</v>
      </c>
      <c r="G134" s="2" t="s">
        <v>179</v>
      </c>
      <c r="H134" s="2" t="s">
        <v>99</v>
      </c>
      <c r="I134" s="2" t="s">
        <v>100</v>
      </c>
      <c r="J134" s="3">
        <v>1.1399999999999999</v>
      </c>
      <c r="K134" s="3">
        <v>0.68</v>
      </c>
      <c r="L134" s="3">
        <v>60</v>
      </c>
      <c r="M134" s="3">
        <v>30</v>
      </c>
      <c r="N134" s="3">
        <v>10</v>
      </c>
      <c r="O134" s="3">
        <v>27.27</v>
      </c>
      <c r="P134" s="3">
        <v>27.27</v>
      </c>
      <c r="Q134" s="3">
        <v>45.45</v>
      </c>
      <c r="R134" s="5">
        <f>IFERROR(IF(_0_00_A_PAINEL_MASTER_V20_APOSTA_ROD[[#This Row],[Met]]="Back_Casa",1,2),0)</f>
        <v>1</v>
      </c>
      <c r="S134" s="3">
        <v>2.08</v>
      </c>
      <c r="T134" s="3">
        <v>1</v>
      </c>
      <c r="U134" s="3">
        <v>1.08</v>
      </c>
      <c r="V134" s="3">
        <v>2</v>
      </c>
      <c r="W134" s="3">
        <v>1</v>
      </c>
      <c r="X134" s="3">
        <v>1</v>
      </c>
    </row>
    <row r="135" spans="1:24" x14ac:dyDescent="0.25">
      <c r="A135">
        <f t="shared" si="3"/>
        <v>134</v>
      </c>
      <c r="B135" s="1">
        <v>46075</v>
      </c>
      <c r="C135" s="6">
        <v>0.58333333333333337</v>
      </c>
      <c r="D135" s="2" t="s">
        <v>48</v>
      </c>
      <c r="E135">
        <v>23</v>
      </c>
      <c r="F135" s="2" t="s">
        <v>168</v>
      </c>
      <c r="G135" s="2" t="s">
        <v>214</v>
      </c>
      <c r="H135" s="2" t="s">
        <v>102</v>
      </c>
      <c r="I135" s="2" t="s">
        <v>103</v>
      </c>
      <c r="J135" s="3">
        <v>0.53</v>
      </c>
      <c r="K135" s="3">
        <v>0.84</v>
      </c>
      <c r="L135" s="3">
        <v>18.18</v>
      </c>
      <c r="M135" s="3">
        <v>18.18</v>
      </c>
      <c r="N135" s="3">
        <v>63.64</v>
      </c>
      <c r="O135" s="3">
        <v>36.36</v>
      </c>
      <c r="P135" s="3">
        <v>36.36</v>
      </c>
      <c r="Q135" s="3">
        <v>27.27</v>
      </c>
      <c r="R135" s="5">
        <f>IFERROR(IF(_0_00_A_PAINEL_MASTER_V20_APOSTA_ROD[[#This Row],[Met]]="Back_Casa",1,2),0)</f>
        <v>2</v>
      </c>
      <c r="S135" s="3">
        <v>2.4700000000000002</v>
      </c>
      <c r="T135" s="3">
        <v>1</v>
      </c>
      <c r="U135" s="3">
        <v>-1</v>
      </c>
      <c r="V135" s="3">
        <v>0</v>
      </c>
      <c r="W135" s="3">
        <v>0</v>
      </c>
      <c r="X135" s="3">
        <v>0</v>
      </c>
    </row>
    <row r="136" spans="1:24" x14ac:dyDescent="0.25">
      <c r="A136">
        <f t="shared" si="3"/>
        <v>135</v>
      </c>
      <c r="B136" s="1">
        <v>46075</v>
      </c>
      <c r="C136" s="6">
        <v>0.60416666666666663</v>
      </c>
      <c r="D136" s="2" t="s">
        <v>31</v>
      </c>
      <c r="E136">
        <v>27</v>
      </c>
      <c r="F136" s="2" t="s">
        <v>245</v>
      </c>
      <c r="G136" s="2" t="s">
        <v>183</v>
      </c>
      <c r="H136" s="2" t="s">
        <v>99</v>
      </c>
      <c r="I136" s="2" t="s">
        <v>100</v>
      </c>
      <c r="J136" s="3">
        <v>1.36</v>
      </c>
      <c r="K136" s="3">
        <v>0.54</v>
      </c>
      <c r="L136" s="3">
        <v>61.54</v>
      </c>
      <c r="M136" s="3">
        <v>15.38</v>
      </c>
      <c r="N136" s="3">
        <v>23.08</v>
      </c>
      <c r="O136" s="3">
        <v>41.67</v>
      </c>
      <c r="P136" s="3">
        <v>16.670000000000002</v>
      </c>
      <c r="Q136" s="3">
        <v>41.67</v>
      </c>
      <c r="R136" s="5">
        <f>IFERROR(IF(_0_00_A_PAINEL_MASTER_V20_APOSTA_ROD[[#This Row],[Met]]="Back_Casa",1,2),0)</f>
        <v>1</v>
      </c>
      <c r="S136" s="3">
        <v>2.0099999999999998</v>
      </c>
      <c r="T136" s="3">
        <v>1</v>
      </c>
      <c r="U136" s="3">
        <v>1.01</v>
      </c>
      <c r="V136" s="3">
        <v>1</v>
      </c>
      <c r="W136" s="3">
        <v>0</v>
      </c>
      <c r="X136" s="3">
        <v>1</v>
      </c>
    </row>
    <row r="137" spans="1:24" x14ac:dyDescent="0.25">
      <c r="A137">
        <f t="shared" si="3"/>
        <v>136</v>
      </c>
      <c r="B137" s="1">
        <v>46075</v>
      </c>
      <c r="C137" s="6">
        <v>0.70833333333333337</v>
      </c>
      <c r="D137" s="2" t="s">
        <v>29</v>
      </c>
      <c r="E137">
        <v>25</v>
      </c>
      <c r="F137" s="2" t="s">
        <v>218</v>
      </c>
      <c r="G137" s="2" t="s">
        <v>159</v>
      </c>
      <c r="H137" s="2" t="s">
        <v>99</v>
      </c>
      <c r="I137" s="2" t="s">
        <v>100</v>
      </c>
      <c r="J137" s="3">
        <v>1.25</v>
      </c>
      <c r="K137" s="3">
        <v>0.44</v>
      </c>
      <c r="L137" s="3">
        <v>75</v>
      </c>
      <c r="M137" s="3">
        <v>8.33</v>
      </c>
      <c r="N137" s="3">
        <v>16.670000000000002</v>
      </c>
      <c r="O137" s="3">
        <v>16.670000000000002</v>
      </c>
      <c r="P137" s="3">
        <v>25</v>
      </c>
      <c r="Q137" s="3">
        <v>58.33</v>
      </c>
      <c r="R137" s="5">
        <f>IFERROR(IF(_0_00_A_PAINEL_MASTER_V20_APOSTA_ROD[[#This Row],[Met]]="Back_Casa",1,2),0)</f>
        <v>1</v>
      </c>
      <c r="S137" s="3">
        <v>1.72</v>
      </c>
      <c r="T137" s="3">
        <v>1</v>
      </c>
      <c r="U137" s="3">
        <v>0.72</v>
      </c>
      <c r="V137" s="3">
        <v>2</v>
      </c>
      <c r="W137" s="3">
        <v>1</v>
      </c>
      <c r="X137" s="3">
        <v>1</v>
      </c>
    </row>
    <row r="138" spans="1:24" x14ac:dyDescent="0.25">
      <c r="A138">
        <f t="shared" si="3"/>
        <v>137</v>
      </c>
      <c r="B138" s="1">
        <v>46077</v>
      </c>
      <c r="C138" s="6">
        <v>0.69791666666666663</v>
      </c>
      <c r="D138" s="2" t="s">
        <v>21</v>
      </c>
      <c r="E138">
        <v>34</v>
      </c>
      <c r="F138" s="2" t="s">
        <v>240</v>
      </c>
      <c r="G138" s="2" t="s">
        <v>71</v>
      </c>
      <c r="H138" s="2" t="s">
        <v>99</v>
      </c>
      <c r="I138" s="2" t="s">
        <v>100</v>
      </c>
      <c r="J138" s="3">
        <v>0.87</v>
      </c>
      <c r="K138" s="3">
        <v>0.75</v>
      </c>
      <c r="L138" s="3">
        <v>62.5</v>
      </c>
      <c r="M138" s="3">
        <v>25</v>
      </c>
      <c r="N138" s="3">
        <v>12.5</v>
      </c>
      <c r="O138" s="3">
        <v>23.53</v>
      </c>
      <c r="P138" s="3">
        <v>29.41</v>
      </c>
      <c r="Q138" s="3">
        <v>47.06</v>
      </c>
      <c r="R138" s="5">
        <f>IFERROR(IF(_0_00_A_PAINEL_MASTER_V20_APOSTA_ROD[[#This Row],[Met]]="Back_Casa",1,2),0)</f>
        <v>1</v>
      </c>
      <c r="S138" s="3">
        <v>1.51</v>
      </c>
      <c r="T138" s="3">
        <v>1</v>
      </c>
      <c r="U138" s="3">
        <v>-1</v>
      </c>
      <c r="V138" s="3">
        <v>1</v>
      </c>
      <c r="W138" s="3">
        <v>1</v>
      </c>
      <c r="X138" s="3">
        <v>0</v>
      </c>
    </row>
    <row r="139" spans="1:24" x14ac:dyDescent="0.25">
      <c r="A139">
        <f t="shared" si="3"/>
        <v>138</v>
      </c>
      <c r="B139" s="1">
        <v>46078</v>
      </c>
      <c r="C139" s="6">
        <v>0.69791666666666663</v>
      </c>
      <c r="D139" s="2" t="s">
        <v>21</v>
      </c>
      <c r="E139">
        <v>34</v>
      </c>
      <c r="F139" s="2" t="s">
        <v>67</v>
      </c>
      <c r="G139" s="2" t="s">
        <v>26</v>
      </c>
      <c r="H139" s="2" t="s">
        <v>99</v>
      </c>
      <c r="I139" s="2" t="s">
        <v>100</v>
      </c>
      <c r="J139" s="3">
        <v>0.72</v>
      </c>
      <c r="K139" s="3">
        <v>0.48</v>
      </c>
      <c r="L139" s="3">
        <v>52.94</v>
      </c>
      <c r="M139" s="3">
        <v>17.649999999999999</v>
      </c>
      <c r="N139" s="3">
        <v>29.41</v>
      </c>
      <c r="O139" s="3">
        <v>29.41</v>
      </c>
      <c r="P139" s="3">
        <v>17.649999999999999</v>
      </c>
      <c r="Q139" s="3">
        <v>52.94</v>
      </c>
      <c r="R139" s="5">
        <f>IFERROR(IF(_0_00_A_PAINEL_MASTER_V20_APOSTA_ROD[[#This Row],[Met]]="Back_Casa",1,2),0)</f>
        <v>1</v>
      </c>
      <c r="S139" s="3">
        <v>2.73</v>
      </c>
      <c r="T139" s="3">
        <v>1</v>
      </c>
      <c r="U139" s="3">
        <v>1.73</v>
      </c>
      <c r="V139" s="3">
        <v>3</v>
      </c>
      <c r="W139" s="3">
        <v>0</v>
      </c>
      <c r="X139" s="3">
        <v>1</v>
      </c>
    </row>
    <row r="140" spans="1:24" x14ac:dyDescent="0.25">
      <c r="A140">
        <f t="shared" si="3"/>
        <v>139</v>
      </c>
      <c r="B140" s="1">
        <v>46080</v>
      </c>
      <c r="C140" s="6">
        <v>0.70833333333333337</v>
      </c>
      <c r="D140" s="2" t="s">
        <v>20</v>
      </c>
      <c r="E140">
        <v>28</v>
      </c>
      <c r="F140" s="2" t="s">
        <v>181</v>
      </c>
      <c r="G140" s="2" t="s">
        <v>64</v>
      </c>
      <c r="H140" s="2" t="s">
        <v>102</v>
      </c>
      <c r="I140" s="2" t="s">
        <v>103</v>
      </c>
      <c r="J140" s="3">
        <v>0.48</v>
      </c>
      <c r="K140" s="3">
        <v>0.83</v>
      </c>
      <c r="L140" s="3">
        <v>7.69</v>
      </c>
      <c r="M140" s="3">
        <v>15.38</v>
      </c>
      <c r="N140" s="3">
        <v>76.92</v>
      </c>
      <c r="O140" s="3">
        <v>46.15</v>
      </c>
      <c r="P140" s="3">
        <v>30.77</v>
      </c>
      <c r="Q140" s="3">
        <v>23.08</v>
      </c>
      <c r="R140" s="5">
        <f>IFERROR(IF(_0_00_A_PAINEL_MASTER_V20_APOSTA_ROD[[#This Row],[Met]]="Back_Casa",1,2),0)</f>
        <v>2</v>
      </c>
      <c r="S140" s="3">
        <v>1.79</v>
      </c>
      <c r="T140" s="3">
        <v>1</v>
      </c>
      <c r="U140" s="3">
        <v>-1</v>
      </c>
      <c r="V140" s="3">
        <v>2</v>
      </c>
      <c r="W140" s="3">
        <v>0</v>
      </c>
      <c r="X140" s="3">
        <v>1</v>
      </c>
    </row>
    <row r="141" spans="1:24" x14ac:dyDescent="0.25">
      <c r="A141">
        <f t="shared" si="3"/>
        <v>140</v>
      </c>
      <c r="B141" s="1">
        <v>46080</v>
      </c>
      <c r="C141" s="6">
        <v>0.66666666666666663</v>
      </c>
      <c r="D141" s="2" t="s">
        <v>154</v>
      </c>
      <c r="E141">
        <v>25</v>
      </c>
      <c r="F141" s="2" t="s">
        <v>248</v>
      </c>
      <c r="G141" s="2" t="s">
        <v>155</v>
      </c>
      <c r="H141" s="2" t="s">
        <v>102</v>
      </c>
      <c r="I141" s="2" t="s">
        <v>103</v>
      </c>
      <c r="J141" s="3">
        <v>0.63</v>
      </c>
      <c r="K141" s="3">
        <v>0.91</v>
      </c>
      <c r="L141" s="3">
        <v>27.27</v>
      </c>
      <c r="M141" s="3">
        <v>36.36</v>
      </c>
      <c r="N141" s="3">
        <v>36.36</v>
      </c>
      <c r="O141" s="3">
        <v>45.45</v>
      </c>
      <c r="P141" s="3">
        <v>27.27</v>
      </c>
      <c r="Q141" s="3">
        <v>27.27</v>
      </c>
      <c r="R141" s="5">
        <f>IFERROR(IF(_0_00_A_PAINEL_MASTER_V20_APOSTA_ROD[[#This Row],[Met]]="Back_Casa",1,2),0)</f>
        <v>2</v>
      </c>
      <c r="S141" s="3">
        <v>2.67</v>
      </c>
      <c r="T141" s="3">
        <v>1</v>
      </c>
      <c r="U141" s="3">
        <v>-1</v>
      </c>
      <c r="V141" s="3">
        <v>2</v>
      </c>
      <c r="W141" s="3">
        <v>1</v>
      </c>
      <c r="X141" s="3">
        <v>1</v>
      </c>
    </row>
    <row r="142" spans="1:24" x14ac:dyDescent="0.25">
      <c r="A142">
        <f t="shared" si="3"/>
        <v>141</v>
      </c>
      <c r="B142" s="1">
        <v>46080</v>
      </c>
      <c r="C142" s="6">
        <v>0.66666666666666663</v>
      </c>
      <c r="D142" s="2" t="s">
        <v>43</v>
      </c>
      <c r="E142">
        <v>29</v>
      </c>
      <c r="F142" s="2" t="s">
        <v>252</v>
      </c>
      <c r="G142" s="2" t="s">
        <v>253</v>
      </c>
      <c r="H142" s="2" t="s">
        <v>102</v>
      </c>
      <c r="I142" s="2" t="s">
        <v>103</v>
      </c>
      <c r="J142" s="3">
        <v>0.96</v>
      </c>
      <c r="K142" s="3">
        <v>1.1200000000000001</v>
      </c>
      <c r="L142" s="3">
        <v>21.43</v>
      </c>
      <c r="M142" s="3">
        <v>21.43</v>
      </c>
      <c r="N142" s="3">
        <v>57.14</v>
      </c>
      <c r="O142" s="3">
        <v>50</v>
      </c>
      <c r="P142" s="3">
        <v>28.57</v>
      </c>
      <c r="Q142" s="3">
        <v>21.43</v>
      </c>
      <c r="R142" s="5">
        <f>IFERROR(IF(_0_00_A_PAINEL_MASTER_V20_APOSTA_ROD[[#This Row],[Met]]="Back_Casa",1,2),0)</f>
        <v>2</v>
      </c>
      <c r="S142" s="3">
        <v>1.78</v>
      </c>
      <c r="T142" s="3">
        <v>1</v>
      </c>
      <c r="U142" s="3">
        <v>0.78</v>
      </c>
      <c r="V142" s="3">
        <v>0</v>
      </c>
      <c r="W142" s="3">
        <v>2</v>
      </c>
      <c r="X142" s="3">
        <v>2</v>
      </c>
    </row>
    <row r="143" spans="1:24" x14ac:dyDescent="0.25">
      <c r="A143">
        <f t="shared" si="3"/>
        <v>142</v>
      </c>
      <c r="B143" s="1">
        <v>46080</v>
      </c>
      <c r="C143" s="6">
        <v>0.70833333333333337</v>
      </c>
      <c r="D143" s="2" t="s">
        <v>63</v>
      </c>
      <c r="E143">
        <v>27</v>
      </c>
      <c r="F143" s="2" t="s">
        <v>86</v>
      </c>
      <c r="G143" s="2" t="s">
        <v>251</v>
      </c>
      <c r="H143" s="2" t="s">
        <v>99</v>
      </c>
      <c r="I143" s="2" t="s">
        <v>100</v>
      </c>
      <c r="J143" s="3">
        <v>0.7</v>
      </c>
      <c r="K143" s="3">
        <v>0.35</v>
      </c>
      <c r="L143" s="3">
        <v>46.15</v>
      </c>
      <c r="M143" s="3">
        <v>30.77</v>
      </c>
      <c r="N143" s="3">
        <v>23.08</v>
      </c>
      <c r="O143" s="3">
        <v>7.69</v>
      </c>
      <c r="P143" s="3">
        <v>38.46</v>
      </c>
      <c r="Q143" s="3">
        <v>53.85</v>
      </c>
      <c r="R143" s="5">
        <f>IFERROR(IF(_0_00_A_PAINEL_MASTER_V20_APOSTA_ROD[[#This Row],[Met]]="Back_Casa",1,2),0)</f>
        <v>1</v>
      </c>
      <c r="S143" s="3">
        <v>1.75</v>
      </c>
      <c r="T143" s="3">
        <v>1</v>
      </c>
      <c r="U143" s="3">
        <v>-1</v>
      </c>
      <c r="V143" s="3">
        <v>0</v>
      </c>
      <c r="W143" s="3">
        <v>1</v>
      </c>
      <c r="X143" s="3">
        <v>2</v>
      </c>
    </row>
    <row r="144" spans="1:24" x14ac:dyDescent="0.25">
      <c r="A144">
        <f t="shared" si="3"/>
        <v>143</v>
      </c>
      <c r="B144" s="1">
        <v>46081</v>
      </c>
      <c r="C144" s="6">
        <v>0.375</v>
      </c>
      <c r="D144" s="2" t="s">
        <v>53</v>
      </c>
      <c r="E144">
        <v>24</v>
      </c>
      <c r="F144" s="2" t="s">
        <v>202</v>
      </c>
      <c r="G144" s="2" t="s">
        <v>254</v>
      </c>
      <c r="H144" s="2" t="s">
        <v>102</v>
      </c>
      <c r="I144" s="2" t="s">
        <v>103</v>
      </c>
      <c r="J144" s="3">
        <v>0.74</v>
      </c>
      <c r="K144" s="3">
        <v>1.23</v>
      </c>
      <c r="L144" s="3">
        <v>36.36</v>
      </c>
      <c r="M144" s="3">
        <v>18.18</v>
      </c>
      <c r="N144" s="3">
        <v>45.45</v>
      </c>
      <c r="O144" s="3">
        <v>54.55</v>
      </c>
      <c r="P144" s="3">
        <v>9.09</v>
      </c>
      <c r="Q144" s="3">
        <v>36.36</v>
      </c>
      <c r="R144" s="5">
        <f>IFERROR(IF(_0_00_A_PAINEL_MASTER_V20_APOSTA_ROD[[#This Row],[Met]]="Back_Casa",1,2),0)</f>
        <v>2</v>
      </c>
      <c r="S144" s="3">
        <v>2.16</v>
      </c>
      <c r="T144" s="3">
        <v>1</v>
      </c>
      <c r="U144" s="3">
        <v>-1</v>
      </c>
      <c r="V144" s="3">
        <v>1</v>
      </c>
      <c r="W144" s="3">
        <v>1</v>
      </c>
      <c r="X144" s="3">
        <v>0</v>
      </c>
    </row>
    <row r="145" spans="1:24" x14ac:dyDescent="0.25">
      <c r="A145">
        <f t="shared" si="3"/>
        <v>144</v>
      </c>
      <c r="B145" s="1">
        <v>46081</v>
      </c>
      <c r="C145" s="6">
        <v>0.41666666666666669</v>
      </c>
      <c r="D145" s="2" t="s">
        <v>50</v>
      </c>
      <c r="E145">
        <v>26</v>
      </c>
      <c r="F145" s="2" t="s">
        <v>216</v>
      </c>
      <c r="G145" s="2" t="s">
        <v>52</v>
      </c>
      <c r="H145" s="2" t="s">
        <v>102</v>
      </c>
      <c r="I145" s="2" t="s">
        <v>103</v>
      </c>
      <c r="J145" s="3">
        <v>0.82</v>
      </c>
      <c r="K145" s="3">
        <v>1.1399999999999999</v>
      </c>
      <c r="L145" s="3">
        <v>30.77</v>
      </c>
      <c r="M145" s="3">
        <v>38.46</v>
      </c>
      <c r="N145" s="3">
        <v>30.77</v>
      </c>
      <c r="O145" s="3">
        <v>58.33</v>
      </c>
      <c r="P145" s="3">
        <v>25</v>
      </c>
      <c r="Q145" s="3">
        <v>16.670000000000002</v>
      </c>
      <c r="R145" s="5">
        <f>IFERROR(IF(_0_00_A_PAINEL_MASTER_V20_APOSTA_ROD[[#This Row],[Met]]="Back_Casa",1,2),0)</f>
        <v>2</v>
      </c>
      <c r="S145" s="3">
        <v>2.2799999999999998</v>
      </c>
      <c r="T145" s="3">
        <v>1</v>
      </c>
      <c r="U145" s="3">
        <v>1.28</v>
      </c>
      <c r="V145" s="3">
        <v>1</v>
      </c>
      <c r="W145" s="3">
        <v>3</v>
      </c>
      <c r="X145" s="3">
        <v>2</v>
      </c>
    </row>
    <row r="146" spans="1:24" x14ac:dyDescent="0.25">
      <c r="A146">
        <f t="shared" si="3"/>
        <v>145</v>
      </c>
      <c r="B146" s="1">
        <v>46081</v>
      </c>
      <c r="C146" s="6">
        <v>0.41666666666666669</v>
      </c>
      <c r="D146" s="2" t="s">
        <v>50</v>
      </c>
      <c r="E146">
        <v>26</v>
      </c>
      <c r="F146" s="2" t="s">
        <v>111</v>
      </c>
      <c r="G146" s="2" t="s">
        <v>260</v>
      </c>
      <c r="H146" s="2" t="s">
        <v>99</v>
      </c>
      <c r="I146" s="2" t="s">
        <v>100</v>
      </c>
      <c r="J146" s="3">
        <v>0.96</v>
      </c>
      <c r="K146" s="3">
        <v>0.77</v>
      </c>
      <c r="L146" s="3">
        <v>46.15</v>
      </c>
      <c r="M146" s="3">
        <v>23.08</v>
      </c>
      <c r="N146" s="3">
        <v>30.77</v>
      </c>
      <c r="O146" s="3">
        <v>30.77</v>
      </c>
      <c r="P146" s="3">
        <v>23.08</v>
      </c>
      <c r="Q146" s="3">
        <v>46.15</v>
      </c>
      <c r="R146" s="5">
        <f>IFERROR(IF(_0_00_A_PAINEL_MASTER_V20_APOSTA_ROD[[#This Row],[Met]]="Back_Casa",1,2),0)</f>
        <v>1</v>
      </c>
      <c r="S146" s="3">
        <v>2.68</v>
      </c>
      <c r="T146" s="3">
        <v>1</v>
      </c>
      <c r="U146" s="3">
        <v>1.68</v>
      </c>
      <c r="V146" s="3">
        <v>2</v>
      </c>
      <c r="W146" s="3">
        <v>0</v>
      </c>
      <c r="X146" s="3">
        <v>1</v>
      </c>
    </row>
    <row r="147" spans="1:24" x14ac:dyDescent="0.25">
      <c r="A147">
        <f t="shared" si="3"/>
        <v>146</v>
      </c>
      <c r="B147" s="1">
        <v>46081</v>
      </c>
      <c r="C147" s="6">
        <v>0.45833333333333331</v>
      </c>
      <c r="D147" s="2" t="s">
        <v>201</v>
      </c>
      <c r="E147">
        <v>24</v>
      </c>
      <c r="F147" s="2" t="s">
        <v>258</v>
      </c>
      <c r="G147" s="2" t="s">
        <v>227</v>
      </c>
      <c r="H147" s="2" t="s">
        <v>99</v>
      </c>
      <c r="I147" s="2" t="s">
        <v>100</v>
      </c>
      <c r="J147" s="3">
        <v>0.82</v>
      </c>
      <c r="K147" s="3">
        <v>0.78</v>
      </c>
      <c r="L147" s="3">
        <v>54.55</v>
      </c>
      <c r="M147" s="3">
        <v>27.27</v>
      </c>
      <c r="N147" s="3">
        <v>18.18</v>
      </c>
      <c r="O147" s="3">
        <v>25</v>
      </c>
      <c r="P147" s="3">
        <v>25</v>
      </c>
      <c r="Q147" s="3">
        <v>50</v>
      </c>
      <c r="R147" s="5">
        <f>IFERROR(IF(_0_00_A_PAINEL_MASTER_V20_APOSTA_ROD[[#This Row],[Met]]="Back_Casa",1,2),0)</f>
        <v>1</v>
      </c>
      <c r="S147" s="3">
        <v>1.86</v>
      </c>
      <c r="T147" s="3">
        <v>1</v>
      </c>
      <c r="U147" s="3">
        <v>-1</v>
      </c>
      <c r="V147" s="3">
        <v>0</v>
      </c>
      <c r="W147" s="3">
        <v>1</v>
      </c>
      <c r="X147" s="3">
        <v>2</v>
      </c>
    </row>
    <row r="148" spans="1:24" x14ac:dyDescent="0.25">
      <c r="A148">
        <f t="shared" si="3"/>
        <v>147</v>
      </c>
      <c r="B148" s="1">
        <v>46081</v>
      </c>
      <c r="C148" s="6">
        <v>0.47916666666666669</v>
      </c>
      <c r="D148" s="2" t="s">
        <v>42</v>
      </c>
      <c r="E148">
        <v>24</v>
      </c>
      <c r="F148" s="2" t="s">
        <v>127</v>
      </c>
      <c r="G148" s="2" t="s">
        <v>264</v>
      </c>
      <c r="H148" s="2" t="s">
        <v>99</v>
      </c>
      <c r="I148" s="2" t="s">
        <v>100</v>
      </c>
      <c r="J148" s="3">
        <v>1.31</v>
      </c>
      <c r="K148" s="3">
        <v>0.69</v>
      </c>
      <c r="L148" s="3">
        <v>63.64</v>
      </c>
      <c r="M148" s="3">
        <v>9.09</v>
      </c>
      <c r="N148" s="3">
        <v>27.27</v>
      </c>
      <c r="O148" s="3">
        <v>18.18</v>
      </c>
      <c r="P148" s="3">
        <v>27.27</v>
      </c>
      <c r="Q148" s="3">
        <v>54.55</v>
      </c>
      <c r="R148" s="5">
        <f>IFERROR(IF(_0_00_A_PAINEL_MASTER_V20_APOSTA_ROD[[#This Row],[Met]]="Back_Casa",1,2),0)</f>
        <v>1</v>
      </c>
      <c r="S148" s="3">
        <v>1.72</v>
      </c>
      <c r="T148" s="3">
        <v>1</v>
      </c>
      <c r="U148" s="3">
        <v>-1</v>
      </c>
      <c r="V148" s="3">
        <v>1</v>
      </c>
      <c r="W148" s="3">
        <v>1</v>
      </c>
      <c r="X148" s="3">
        <v>0</v>
      </c>
    </row>
    <row r="149" spans="1:24" x14ac:dyDescent="0.25">
      <c r="A149">
        <f t="shared" si="3"/>
        <v>148</v>
      </c>
      <c r="B149" s="1">
        <v>46081</v>
      </c>
      <c r="C149" s="6">
        <v>0.5</v>
      </c>
      <c r="D149" s="2" t="s">
        <v>20</v>
      </c>
      <c r="E149">
        <v>28</v>
      </c>
      <c r="F149" s="2" t="s">
        <v>244</v>
      </c>
      <c r="G149" s="2" t="s">
        <v>161</v>
      </c>
      <c r="H149" s="2" t="s">
        <v>99</v>
      </c>
      <c r="I149" s="2" t="s">
        <v>100</v>
      </c>
      <c r="J149" s="3">
        <v>0.99</v>
      </c>
      <c r="K149" s="3">
        <v>0.75</v>
      </c>
      <c r="L149" s="3">
        <v>53.85</v>
      </c>
      <c r="M149" s="3">
        <v>23.08</v>
      </c>
      <c r="N149" s="3">
        <v>23.08</v>
      </c>
      <c r="O149" s="3">
        <v>25</v>
      </c>
      <c r="P149" s="3">
        <v>33.33</v>
      </c>
      <c r="Q149" s="3">
        <v>41.67</v>
      </c>
      <c r="R149" s="5">
        <f>IFERROR(IF(_0_00_A_PAINEL_MASTER_V20_APOSTA_ROD[[#This Row],[Met]]="Back_Casa",1,2),0)</f>
        <v>1</v>
      </c>
      <c r="S149" s="3">
        <v>1.43</v>
      </c>
      <c r="T149" s="3">
        <v>1</v>
      </c>
      <c r="U149" s="3">
        <v>0.43</v>
      </c>
      <c r="V149" s="3">
        <v>4</v>
      </c>
      <c r="W149" s="3">
        <v>2</v>
      </c>
      <c r="X149" s="3">
        <v>1</v>
      </c>
    </row>
    <row r="150" spans="1:24" x14ac:dyDescent="0.25">
      <c r="A150">
        <f t="shared" si="3"/>
        <v>149</v>
      </c>
      <c r="B150" s="1">
        <v>46081</v>
      </c>
      <c r="C150" s="6">
        <v>0.5</v>
      </c>
      <c r="D150" s="2" t="s">
        <v>27</v>
      </c>
      <c r="E150">
        <v>35</v>
      </c>
      <c r="F150" s="2" t="s">
        <v>68</v>
      </c>
      <c r="G150" s="2" t="s">
        <v>150</v>
      </c>
      <c r="H150" s="2" t="s">
        <v>99</v>
      </c>
      <c r="I150" s="2" t="s">
        <v>100</v>
      </c>
      <c r="J150" s="3">
        <v>1.1299999999999999</v>
      </c>
      <c r="K150" s="3">
        <v>0.52</v>
      </c>
      <c r="L150" s="3">
        <v>70.59</v>
      </c>
      <c r="M150" s="3">
        <v>23.53</v>
      </c>
      <c r="N150" s="3">
        <v>5.88</v>
      </c>
      <c r="O150" s="3">
        <v>18.75</v>
      </c>
      <c r="P150" s="3">
        <v>18.75</v>
      </c>
      <c r="Q150" s="3">
        <v>62.5</v>
      </c>
      <c r="R150" s="5">
        <f>IFERROR(IF(_0_00_A_PAINEL_MASTER_V20_APOSTA_ROD[[#This Row],[Met]]="Back_Casa",1,2),0)</f>
        <v>1</v>
      </c>
      <c r="S150" s="3">
        <v>1.43</v>
      </c>
      <c r="T150" s="3">
        <v>1</v>
      </c>
      <c r="U150" s="3">
        <v>0.43</v>
      </c>
      <c r="V150" s="3">
        <v>4</v>
      </c>
      <c r="W150" s="3">
        <v>0</v>
      </c>
      <c r="X150" s="3">
        <v>1</v>
      </c>
    </row>
    <row r="151" spans="1:24" x14ac:dyDescent="0.25">
      <c r="A151">
        <f t="shared" si="3"/>
        <v>150</v>
      </c>
      <c r="B151" s="1">
        <v>46081</v>
      </c>
      <c r="C151" s="6">
        <v>0.5</v>
      </c>
      <c r="D151" s="2" t="s">
        <v>27</v>
      </c>
      <c r="E151">
        <v>35</v>
      </c>
      <c r="F151" s="2" t="s">
        <v>70</v>
      </c>
      <c r="G151" s="2" t="s">
        <v>108</v>
      </c>
      <c r="H151" s="2" t="s">
        <v>99</v>
      </c>
      <c r="I151" s="2" t="s">
        <v>100</v>
      </c>
      <c r="J151" s="3">
        <v>1.07</v>
      </c>
      <c r="K151" s="3">
        <v>0.53</v>
      </c>
      <c r="L151" s="3">
        <v>58.82</v>
      </c>
      <c r="M151" s="3">
        <v>17.649999999999999</v>
      </c>
      <c r="N151" s="3">
        <v>23.53</v>
      </c>
      <c r="O151" s="3">
        <v>17.649999999999999</v>
      </c>
      <c r="P151" s="3">
        <v>41.18</v>
      </c>
      <c r="Q151" s="3">
        <v>41.18</v>
      </c>
      <c r="R151" s="5">
        <f>IFERROR(IF(_0_00_A_PAINEL_MASTER_V20_APOSTA_ROD[[#This Row],[Met]]="Back_Casa",1,2),0)</f>
        <v>1</v>
      </c>
      <c r="S151" s="3">
        <v>1.8</v>
      </c>
      <c r="T151" s="3">
        <v>1</v>
      </c>
      <c r="U151" s="3">
        <v>0.8</v>
      </c>
      <c r="V151" s="3">
        <v>3</v>
      </c>
      <c r="W151" s="3">
        <v>0</v>
      </c>
      <c r="X151" s="3">
        <v>1</v>
      </c>
    </row>
    <row r="152" spans="1:24" x14ac:dyDescent="0.25">
      <c r="A152">
        <f t="shared" si="3"/>
        <v>151</v>
      </c>
      <c r="B152" s="1">
        <v>46081</v>
      </c>
      <c r="C152" s="6">
        <v>0.58333333333333337</v>
      </c>
      <c r="D152" s="2" t="s">
        <v>62</v>
      </c>
      <c r="E152">
        <v>27</v>
      </c>
      <c r="F152" s="2" t="s">
        <v>266</v>
      </c>
      <c r="G152" s="2" t="s">
        <v>178</v>
      </c>
      <c r="H152" s="2" t="s">
        <v>102</v>
      </c>
      <c r="I152" s="2" t="s">
        <v>103</v>
      </c>
      <c r="J152" s="3">
        <v>0.46</v>
      </c>
      <c r="K152" s="3">
        <v>0.63</v>
      </c>
      <c r="L152" s="3">
        <v>8.33</v>
      </c>
      <c r="M152" s="3">
        <v>33.33</v>
      </c>
      <c r="N152" s="3">
        <v>58.33</v>
      </c>
      <c r="O152" s="3">
        <v>50</v>
      </c>
      <c r="P152" s="3">
        <v>7.14</v>
      </c>
      <c r="Q152" s="3">
        <v>42.86</v>
      </c>
      <c r="R152" s="5">
        <f>IFERROR(IF(_0_00_A_PAINEL_MASTER_V20_APOSTA_ROD[[#This Row],[Met]]="Back_Casa",1,2),0)</f>
        <v>2</v>
      </c>
      <c r="S152" s="3">
        <v>1.63</v>
      </c>
      <c r="T152" s="3">
        <v>1</v>
      </c>
      <c r="U152" s="3">
        <v>0.63</v>
      </c>
      <c r="V152" s="3">
        <v>1</v>
      </c>
      <c r="W152" s="3">
        <v>2</v>
      </c>
      <c r="X152" s="3">
        <v>2</v>
      </c>
    </row>
    <row r="153" spans="1:24" x14ac:dyDescent="0.25">
      <c r="A153">
        <f t="shared" si="3"/>
        <v>152</v>
      </c>
      <c r="B153" s="1">
        <v>46081</v>
      </c>
      <c r="C153" s="6">
        <v>0.59375</v>
      </c>
      <c r="D153" s="2" t="s">
        <v>61</v>
      </c>
      <c r="E153">
        <v>27</v>
      </c>
      <c r="F153" s="2" t="s">
        <v>261</v>
      </c>
      <c r="G153" s="2" t="s">
        <v>84</v>
      </c>
      <c r="H153" s="2" t="s">
        <v>102</v>
      </c>
      <c r="I153" s="2" t="s">
        <v>103</v>
      </c>
      <c r="J153" s="3">
        <v>0.86</v>
      </c>
      <c r="K153" s="3">
        <v>1.1399999999999999</v>
      </c>
      <c r="L153" s="3">
        <v>38.46</v>
      </c>
      <c r="M153" s="3">
        <v>23.08</v>
      </c>
      <c r="N153" s="3">
        <v>38.46</v>
      </c>
      <c r="O153" s="3">
        <v>61.54</v>
      </c>
      <c r="P153" s="3">
        <v>15.38</v>
      </c>
      <c r="Q153" s="3">
        <v>23.08</v>
      </c>
      <c r="R153" s="5">
        <f>IFERROR(IF(_0_00_A_PAINEL_MASTER_V20_APOSTA_ROD[[#This Row],[Met]]="Back_Casa",1,2),0)</f>
        <v>2</v>
      </c>
      <c r="S153" s="3">
        <v>2.1800000000000002</v>
      </c>
      <c r="T153" s="3">
        <v>1</v>
      </c>
      <c r="U153" s="3">
        <v>-1</v>
      </c>
      <c r="V153" s="3">
        <v>1</v>
      </c>
      <c r="W153" s="3">
        <v>0</v>
      </c>
      <c r="X153" s="3">
        <v>1</v>
      </c>
    </row>
    <row r="154" spans="1:24" x14ac:dyDescent="0.25">
      <c r="A154">
        <f t="shared" si="3"/>
        <v>153</v>
      </c>
      <c r="B154" s="1">
        <v>46081</v>
      </c>
      <c r="C154" s="6">
        <v>0.625</v>
      </c>
      <c r="D154" s="2" t="s">
        <v>36</v>
      </c>
      <c r="E154">
        <v>24</v>
      </c>
      <c r="F154" s="2" t="s">
        <v>78</v>
      </c>
      <c r="G154" s="2" t="s">
        <v>265</v>
      </c>
      <c r="H154" s="2" t="s">
        <v>99</v>
      </c>
      <c r="I154" s="2" t="s">
        <v>100</v>
      </c>
      <c r="J154" s="3">
        <v>1.3</v>
      </c>
      <c r="K154" s="3">
        <v>0.27</v>
      </c>
      <c r="L154" s="3">
        <v>58.33</v>
      </c>
      <c r="M154" s="3">
        <v>8.33</v>
      </c>
      <c r="N154" s="3">
        <v>33.33</v>
      </c>
      <c r="O154" s="3">
        <v>18.18</v>
      </c>
      <c r="P154" s="3">
        <v>27.27</v>
      </c>
      <c r="Q154" s="3">
        <v>54.55</v>
      </c>
      <c r="R154" s="5">
        <f>IFERROR(IF(_0_00_A_PAINEL_MASTER_V20_APOSTA_ROD[[#This Row],[Met]]="Back_Casa",1,2),0)</f>
        <v>1</v>
      </c>
      <c r="S154" s="3">
        <v>1.48</v>
      </c>
      <c r="T154" s="3">
        <v>1</v>
      </c>
      <c r="U154" s="3">
        <v>0.48</v>
      </c>
      <c r="V154" s="3">
        <v>2</v>
      </c>
      <c r="W154" s="3">
        <v>0</v>
      </c>
      <c r="X154" s="3">
        <v>1</v>
      </c>
    </row>
    <row r="155" spans="1:24" x14ac:dyDescent="0.25">
      <c r="A155">
        <f t="shared" si="3"/>
        <v>154</v>
      </c>
      <c r="B155" s="1">
        <v>46081</v>
      </c>
      <c r="C155" s="6">
        <v>0.69791666666666663</v>
      </c>
      <c r="D155" s="2" t="s">
        <v>61</v>
      </c>
      <c r="E155">
        <v>27</v>
      </c>
      <c r="F155" s="2" t="s">
        <v>119</v>
      </c>
      <c r="G155" s="2" t="s">
        <v>85</v>
      </c>
      <c r="H155" s="2" t="s">
        <v>99</v>
      </c>
      <c r="I155" s="2" t="s">
        <v>100</v>
      </c>
      <c r="J155" s="3">
        <v>0.85</v>
      </c>
      <c r="K155" s="3">
        <v>0.49</v>
      </c>
      <c r="L155" s="3">
        <v>53.85</v>
      </c>
      <c r="M155" s="3">
        <v>30.77</v>
      </c>
      <c r="N155" s="3">
        <v>15.38</v>
      </c>
      <c r="O155" s="3">
        <v>30.77</v>
      </c>
      <c r="P155" s="3">
        <v>15.38</v>
      </c>
      <c r="Q155" s="3">
        <v>53.85</v>
      </c>
      <c r="R155" s="5">
        <f>IFERROR(IF(_0_00_A_PAINEL_MASTER_V20_APOSTA_ROD[[#This Row],[Met]]="Back_Casa",1,2),0)</f>
        <v>1</v>
      </c>
      <c r="S155" s="3">
        <v>1.75</v>
      </c>
      <c r="T155" s="3">
        <v>1</v>
      </c>
      <c r="U155" s="3">
        <v>0.75</v>
      </c>
      <c r="V155" s="3">
        <v>3</v>
      </c>
      <c r="W155" s="3">
        <v>1</v>
      </c>
      <c r="X155" s="3">
        <v>1</v>
      </c>
    </row>
    <row r="156" spans="1:24" x14ac:dyDescent="0.25">
      <c r="A156">
        <f t="shared" si="3"/>
        <v>155</v>
      </c>
      <c r="B156" s="1">
        <v>46082</v>
      </c>
      <c r="C156" s="6">
        <v>0.47916666666666669</v>
      </c>
      <c r="D156" s="2" t="s">
        <v>42</v>
      </c>
      <c r="E156">
        <v>24</v>
      </c>
      <c r="F156" s="2" t="s">
        <v>176</v>
      </c>
      <c r="G156" s="2" t="s">
        <v>203</v>
      </c>
      <c r="H156" s="2" t="s">
        <v>99</v>
      </c>
      <c r="I156" s="2" t="s">
        <v>100</v>
      </c>
      <c r="J156" s="3">
        <v>0.98</v>
      </c>
      <c r="K156" s="3">
        <v>0.81</v>
      </c>
      <c r="L156" s="3">
        <v>72.73</v>
      </c>
      <c r="M156" s="3">
        <v>18.18</v>
      </c>
      <c r="N156" s="3">
        <v>9.09</v>
      </c>
      <c r="O156" s="3">
        <v>27.27</v>
      </c>
      <c r="P156" s="3">
        <v>18.18</v>
      </c>
      <c r="Q156" s="3">
        <v>54.55</v>
      </c>
      <c r="R156" s="5">
        <f>IFERROR(IF(_0_00_A_PAINEL_MASTER_V20_APOSTA_ROD[[#This Row],[Met]]="Back_Casa",1,2),0)</f>
        <v>1</v>
      </c>
      <c r="S156" s="3">
        <v>1.4</v>
      </c>
      <c r="T156" s="3">
        <v>1</v>
      </c>
      <c r="U156" s="3">
        <v>0.4</v>
      </c>
      <c r="V156" s="3">
        <v>3</v>
      </c>
      <c r="W156" s="3">
        <v>0</v>
      </c>
      <c r="X156" s="3">
        <v>1</v>
      </c>
    </row>
    <row r="157" spans="1:24" x14ac:dyDescent="0.25">
      <c r="A157">
        <f t="shared" si="3"/>
        <v>156</v>
      </c>
      <c r="B157" s="1">
        <v>46082</v>
      </c>
      <c r="C157" s="6">
        <v>0.51041666666666663</v>
      </c>
      <c r="D157" s="2" t="s">
        <v>31</v>
      </c>
      <c r="E157">
        <v>28</v>
      </c>
      <c r="F157" s="2" t="s">
        <v>35</v>
      </c>
      <c r="G157" s="2" t="s">
        <v>274</v>
      </c>
      <c r="H157" s="2" t="s">
        <v>99</v>
      </c>
      <c r="I157" s="2" t="s">
        <v>100</v>
      </c>
      <c r="J157" s="3">
        <v>0.83</v>
      </c>
      <c r="K157" s="3">
        <v>0.59</v>
      </c>
      <c r="L157" s="3">
        <v>50</v>
      </c>
      <c r="M157" s="3">
        <v>28.57</v>
      </c>
      <c r="N157" s="3">
        <v>21.43</v>
      </c>
      <c r="O157" s="3">
        <v>28.57</v>
      </c>
      <c r="P157" s="3">
        <v>35.71</v>
      </c>
      <c r="Q157" s="3">
        <v>35.71</v>
      </c>
      <c r="R157" s="5">
        <f>IFERROR(IF(_0_00_A_PAINEL_MASTER_V20_APOSTA_ROD[[#This Row],[Met]]="Back_Casa",1,2),0)</f>
        <v>1</v>
      </c>
      <c r="S157" s="3">
        <v>1.95</v>
      </c>
      <c r="T157" s="3">
        <v>1</v>
      </c>
      <c r="U157" s="3"/>
      <c r="V157" s="3"/>
      <c r="W157" s="3"/>
      <c r="X157" s="3"/>
    </row>
    <row r="158" spans="1:24" x14ac:dyDescent="0.25">
      <c r="A158">
        <f t="shared" si="3"/>
        <v>157</v>
      </c>
      <c r="B158" s="1">
        <v>46082</v>
      </c>
      <c r="C158" s="6">
        <v>0.52083333333333337</v>
      </c>
      <c r="D158" s="2" t="s">
        <v>50</v>
      </c>
      <c r="E158">
        <v>26</v>
      </c>
      <c r="F158" s="2" t="s">
        <v>116</v>
      </c>
      <c r="G158" s="2" t="s">
        <v>137</v>
      </c>
      <c r="H158" s="2" t="s">
        <v>99</v>
      </c>
      <c r="I158" s="2" t="s">
        <v>100</v>
      </c>
      <c r="J158" s="3">
        <v>1.35</v>
      </c>
      <c r="K158" s="3">
        <v>0.84</v>
      </c>
      <c r="L158" s="3">
        <v>75</v>
      </c>
      <c r="M158" s="3">
        <v>25</v>
      </c>
      <c r="N158" s="3">
        <v>0</v>
      </c>
      <c r="O158" s="3">
        <v>8.33</v>
      </c>
      <c r="P158" s="3">
        <v>25</v>
      </c>
      <c r="Q158" s="3">
        <v>66.67</v>
      </c>
      <c r="R158" s="5">
        <f>IFERROR(IF(_0_00_A_PAINEL_MASTER_V20_APOSTA_ROD[[#This Row],[Met]]="Back_Casa",1,2),0)</f>
        <v>1</v>
      </c>
      <c r="S158" s="3">
        <v>1.42</v>
      </c>
      <c r="T158" s="3">
        <v>1</v>
      </c>
      <c r="U158" s="3">
        <v>-1</v>
      </c>
      <c r="V158" s="3">
        <v>1</v>
      </c>
      <c r="W158" s="3">
        <v>1</v>
      </c>
      <c r="X158" s="3">
        <v>0</v>
      </c>
    </row>
    <row r="159" spans="1:24" x14ac:dyDescent="0.25">
      <c r="A159">
        <f t="shared" si="3"/>
        <v>158</v>
      </c>
      <c r="B159" s="1">
        <v>46082</v>
      </c>
      <c r="C159" s="6">
        <v>0.55208333333333337</v>
      </c>
      <c r="D159" s="2" t="s">
        <v>36</v>
      </c>
      <c r="E159">
        <v>24</v>
      </c>
      <c r="F159" s="2" t="s">
        <v>132</v>
      </c>
      <c r="G159" s="2" t="s">
        <v>180</v>
      </c>
      <c r="H159" s="2" t="s">
        <v>99</v>
      </c>
      <c r="I159" s="2" t="s">
        <v>100</v>
      </c>
      <c r="J159" s="3">
        <v>0.91</v>
      </c>
      <c r="K159" s="3">
        <v>0.49</v>
      </c>
      <c r="L159" s="3">
        <v>54.55</v>
      </c>
      <c r="M159" s="3">
        <v>18.18</v>
      </c>
      <c r="N159" s="3">
        <v>27.27</v>
      </c>
      <c r="O159" s="3">
        <v>18.18</v>
      </c>
      <c r="P159" s="3">
        <v>27.27</v>
      </c>
      <c r="Q159" s="3">
        <v>54.55</v>
      </c>
      <c r="R159" s="5">
        <f>IFERROR(IF(_0_00_A_PAINEL_MASTER_V20_APOSTA_ROD[[#This Row],[Met]]="Back_Casa",1,2),0)</f>
        <v>1</v>
      </c>
      <c r="S159" s="3">
        <v>1.58</v>
      </c>
      <c r="T159" s="3">
        <v>1</v>
      </c>
      <c r="U159" s="3">
        <v>0.57999999999999996</v>
      </c>
      <c r="V159" s="3">
        <v>1</v>
      </c>
      <c r="W159" s="3">
        <v>0</v>
      </c>
      <c r="X159" s="3">
        <v>1</v>
      </c>
    </row>
    <row r="160" spans="1:24" x14ac:dyDescent="0.25">
      <c r="A160">
        <f t="shared" si="3"/>
        <v>159</v>
      </c>
      <c r="B160" s="1">
        <v>46082</v>
      </c>
      <c r="C160" s="6">
        <v>0.5625</v>
      </c>
      <c r="D160" s="2" t="s">
        <v>42</v>
      </c>
      <c r="E160">
        <v>24</v>
      </c>
      <c r="F160" s="2" t="s">
        <v>276</v>
      </c>
      <c r="G160" s="2" t="s">
        <v>44</v>
      </c>
      <c r="H160" s="2" t="s">
        <v>99</v>
      </c>
      <c r="I160" s="2" t="s">
        <v>100</v>
      </c>
      <c r="J160" s="3">
        <v>1.1399999999999999</v>
      </c>
      <c r="K160" s="3">
        <v>0.65</v>
      </c>
      <c r="L160" s="3">
        <v>45.45</v>
      </c>
      <c r="M160" s="3">
        <v>18.18</v>
      </c>
      <c r="N160" s="3">
        <v>36.36</v>
      </c>
      <c r="O160" s="3">
        <v>16.670000000000002</v>
      </c>
      <c r="P160" s="3">
        <v>25</v>
      </c>
      <c r="Q160" s="3">
        <v>58.33</v>
      </c>
      <c r="R160" s="5">
        <f>IFERROR(IF(_0_00_A_PAINEL_MASTER_V20_APOSTA_ROD[[#This Row],[Met]]="Back_Casa",1,2),0)</f>
        <v>1</v>
      </c>
      <c r="S160" s="3">
        <v>2.2999999999999998</v>
      </c>
      <c r="T160" s="3">
        <v>1</v>
      </c>
      <c r="U160" s="3">
        <v>1.3</v>
      </c>
      <c r="V160" s="3">
        <v>2</v>
      </c>
      <c r="W160" s="3">
        <v>0</v>
      </c>
      <c r="X160" s="3">
        <v>1</v>
      </c>
    </row>
    <row r="161" spans="1:24" x14ac:dyDescent="0.25">
      <c r="A161">
        <f t="shared" si="3"/>
        <v>160</v>
      </c>
      <c r="B161" s="1">
        <v>46082</v>
      </c>
      <c r="C161" s="6">
        <v>0.60416666666666663</v>
      </c>
      <c r="D161" s="2" t="s">
        <v>29</v>
      </c>
      <c r="E161">
        <v>26</v>
      </c>
      <c r="F161" s="2" t="s">
        <v>158</v>
      </c>
      <c r="G161" s="2" t="s">
        <v>275</v>
      </c>
      <c r="H161" s="2" t="s">
        <v>99</v>
      </c>
      <c r="I161" s="2" t="s">
        <v>100</v>
      </c>
      <c r="J161" s="3">
        <v>1.0900000000000001</v>
      </c>
      <c r="K161" s="3">
        <v>0.6</v>
      </c>
      <c r="L161" s="3">
        <v>58.33</v>
      </c>
      <c r="M161" s="3">
        <v>16.670000000000002</v>
      </c>
      <c r="N161" s="3">
        <v>25</v>
      </c>
      <c r="O161" s="3">
        <v>33.33</v>
      </c>
      <c r="P161" s="3">
        <v>16.670000000000002</v>
      </c>
      <c r="Q161" s="3">
        <v>50</v>
      </c>
      <c r="R161" s="5">
        <f>IFERROR(IF(_0_00_A_PAINEL_MASTER_V20_APOSTA_ROD[[#This Row],[Met]]="Back_Casa",1,2),0)</f>
        <v>1</v>
      </c>
      <c r="S161" s="3">
        <v>1.74</v>
      </c>
      <c r="T161" s="3">
        <v>1</v>
      </c>
      <c r="U161" s="3">
        <v>-1</v>
      </c>
      <c r="V161" s="3">
        <v>2</v>
      </c>
      <c r="W161" s="3">
        <v>2</v>
      </c>
      <c r="X161" s="3">
        <v>0</v>
      </c>
    </row>
  </sheetData>
  <pageMargins left="0.511811024" right="0.511811024" top="0.78740157499999996" bottom="0.78740157499999996" header="0.31496062000000002" footer="0.31496062000000002"/>
  <drawing r:id="rId9"/>
  <tableParts count="1">
    <tablePart r:id="rId10"/>
  </tableParts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7008-392F-43F8-9E48-657C5650FC96}">
  <dimension ref="A1:Z40"/>
  <sheetViews>
    <sheetView workbookViewId="0">
      <selection activeCell="S12" sqref="S12:Z40"/>
    </sheetView>
  </sheetViews>
  <sheetFormatPr defaultRowHeight="15" x14ac:dyDescent="0.25"/>
  <cols>
    <col min="1" max="1" width="10.7109375" bestFit="1" customWidth="1"/>
    <col min="2" max="2" width="10.140625" bestFit="1" customWidth="1"/>
    <col min="3" max="3" width="13.5703125" bestFit="1" customWidth="1"/>
    <col min="4" max="4" width="9.42578125" bestFit="1" customWidth="1"/>
    <col min="5" max="5" width="26.140625" bestFit="1" customWidth="1"/>
    <col min="6" max="6" width="16.5703125" bestFit="1" customWidth="1"/>
    <col min="7" max="7" width="14.7109375" bestFit="1" customWidth="1"/>
    <col min="8" max="8" width="10" bestFit="1" customWidth="1"/>
    <col min="9" max="10" width="13.85546875" bestFit="1" customWidth="1"/>
    <col min="11" max="12" width="14.42578125" bestFit="1" customWidth="1"/>
    <col min="13" max="14" width="13.28515625" bestFit="1" customWidth="1"/>
    <col min="15" max="16" width="16.140625" bestFit="1" customWidth="1"/>
    <col min="17" max="18" width="14.85546875" bestFit="1" customWidth="1"/>
    <col min="19" max="19" width="18.28515625" bestFit="1" customWidth="1"/>
    <col min="20" max="20" width="18.140625" bestFit="1" customWidth="1"/>
    <col min="21" max="21" width="9.28515625" bestFit="1" customWidth="1"/>
    <col min="22" max="22" width="9" bestFit="1" customWidth="1"/>
    <col min="23" max="24" width="9.28515625" bestFit="1" customWidth="1"/>
    <col min="25" max="25" width="9" bestFit="1" customWidth="1"/>
    <col min="26" max="26" width="9.28515625" bestFit="1" customWidth="1"/>
  </cols>
  <sheetData>
    <row r="1" spans="1:26" x14ac:dyDescent="0.25">
      <c r="A1" t="s">
        <v>0</v>
      </c>
      <c r="B1" t="s">
        <v>140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</row>
    <row r="2" spans="1:26" hidden="1" x14ac:dyDescent="0.25">
      <c r="A2" s="1">
        <v>46081</v>
      </c>
      <c r="B2" s="6">
        <v>0.375</v>
      </c>
      <c r="C2" s="2" t="s">
        <v>53</v>
      </c>
      <c r="D2">
        <v>24</v>
      </c>
      <c r="E2" s="2" t="s">
        <v>202</v>
      </c>
      <c r="F2" s="2" t="s">
        <v>254</v>
      </c>
      <c r="G2" s="2" t="s">
        <v>102</v>
      </c>
      <c r="H2" s="2" t="s">
        <v>103</v>
      </c>
      <c r="I2">
        <v>2.23</v>
      </c>
      <c r="J2">
        <v>2.4</v>
      </c>
      <c r="K2">
        <v>0.59</v>
      </c>
      <c r="L2">
        <v>0.78</v>
      </c>
      <c r="M2">
        <v>3.99</v>
      </c>
      <c r="N2">
        <v>5.0999999999999996</v>
      </c>
      <c r="O2">
        <v>2.57</v>
      </c>
      <c r="P2">
        <v>4.29</v>
      </c>
      <c r="Q2">
        <v>0.38</v>
      </c>
      <c r="R2">
        <v>0.68</v>
      </c>
      <c r="S2">
        <v>0.74</v>
      </c>
      <c r="T2">
        <v>1.23</v>
      </c>
      <c r="U2">
        <v>36.36</v>
      </c>
      <c r="V2">
        <v>18.18</v>
      </c>
      <c r="W2">
        <v>45.45</v>
      </c>
      <c r="X2">
        <v>54.55</v>
      </c>
      <c r="Y2">
        <v>9.09</v>
      </c>
      <c r="Z2">
        <v>36.36</v>
      </c>
    </row>
    <row r="3" spans="1:26" hidden="1" x14ac:dyDescent="0.25">
      <c r="A3" s="1">
        <v>46081</v>
      </c>
      <c r="B3" s="6">
        <v>0.39583333333333331</v>
      </c>
      <c r="C3" s="2" t="s">
        <v>21</v>
      </c>
      <c r="D3">
        <v>35</v>
      </c>
      <c r="E3" s="2" t="s">
        <v>241</v>
      </c>
      <c r="F3" s="2" t="s">
        <v>288</v>
      </c>
      <c r="G3" s="2" t="s">
        <v>102</v>
      </c>
      <c r="H3" s="2" t="s">
        <v>103</v>
      </c>
      <c r="I3">
        <v>2.79</v>
      </c>
      <c r="J3">
        <v>3.68</v>
      </c>
      <c r="K3">
        <v>0.52</v>
      </c>
      <c r="L3">
        <v>0.52</v>
      </c>
      <c r="M3">
        <v>3.8</v>
      </c>
      <c r="N3">
        <v>3.73</v>
      </c>
      <c r="O3">
        <v>2.85</v>
      </c>
      <c r="P3">
        <v>6.6</v>
      </c>
      <c r="Q3">
        <v>0.41</v>
      </c>
      <c r="R3">
        <v>0.91</v>
      </c>
      <c r="S3">
        <v>0.56999999999999995</v>
      </c>
      <c r="T3">
        <v>1.01</v>
      </c>
      <c r="U3">
        <v>35.29</v>
      </c>
      <c r="V3">
        <v>29.41</v>
      </c>
      <c r="W3">
        <v>35.29</v>
      </c>
      <c r="X3">
        <v>53.33</v>
      </c>
      <c r="Y3">
        <v>20</v>
      </c>
      <c r="Z3">
        <v>26.67</v>
      </c>
    </row>
    <row r="4" spans="1:26" hidden="1" x14ac:dyDescent="0.25">
      <c r="A4" s="1">
        <v>46081</v>
      </c>
      <c r="B4" s="6">
        <v>0.39583333333333331</v>
      </c>
      <c r="C4" s="2" t="s">
        <v>21</v>
      </c>
      <c r="D4">
        <v>35</v>
      </c>
      <c r="E4" s="2" t="s">
        <v>289</v>
      </c>
      <c r="F4" s="2" t="s">
        <v>165</v>
      </c>
      <c r="G4" s="2" t="s">
        <v>102</v>
      </c>
      <c r="H4" s="2" t="s">
        <v>103</v>
      </c>
      <c r="I4">
        <v>2.71</v>
      </c>
      <c r="J4">
        <v>3.73</v>
      </c>
      <c r="K4">
        <v>0.47</v>
      </c>
      <c r="L4">
        <v>0.38</v>
      </c>
      <c r="M4">
        <v>3.45</v>
      </c>
      <c r="N4">
        <v>2.88</v>
      </c>
      <c r="O4">
        <v>3.41</v>
      </c>
      <c r="P4">
        <v>3.18</v>
      </c>
      <c r="Q4">
        <v>0.46</v>
      </c>
      <c r="R4">
        <v>0.43</v>
      </c>
      <c r="S4">
        <v>0.63</v>
      </c>
      <c r="T4">
        <v>0.49</v>
      </c>
      <c r="U4">
        <v>29.41</v>
      </c>
      <c r="V4">
        <v>35.29</v>
      </c>
      <c r="W4">
        <v>35.29</v>
      </c>
      <c r="X4">
        <v>37.5</v>
      </c>
      <c r="Y4">
        <v>18.75</v>
      </c>
      <c r="Z4">
        <v>43.75</v>
      </c>
    </row>
    <row r="5" spans="1:26" hidden="1" x14ac:dyDescent="0.25">
      <c r="A5" s="1">
        <v>46081</v>
      </c>
      <c r="B5" s="6">
        <v>0.41666666666666669</v>
      </c>
      <c r="C5" s="2" t="s">
        <v>50</v>
      </c>
      <c r="D5">
        <v>26</v>
      </c>
      <c r="E5" s="2" t="s">
        <v>216</v>
      </c>
      <c r="F5" s="2" t="s">
        <v>52</v>
      </c>
      <c r="G5" s="2" t="s">
        <v>102</v>
      </c>
      <c r="H5" s="2" t="s">
        <v>103</v>
      </c>
      <c r="I5">
        <v>2.46</v>
      </c>
      <c r="J5">
        <v>2.87</v>
      </c>
      <c r="K5">
        <v>0.55000000000000004</v>
      </c>
      <c r="L5">
        <v>0.75</v>
      </c>
      <c r="M5">
        <v>3.65</v>
      </c>
      <c r="N5">
        <v>5.1100000000000003</v>
      </c>
      <c r="O5">
        <v>2.95</v>
      </c>
      <c r="P5">
        <v>5.12</v>
      </c>
      <c r="Q5">
        <v>0.46</v>
      </c>
      <c r="R5">
        <v>0.76</v>
      </c>
      <c r="S5">
        <v>0.82</v>
      </c>
      <c r="T5">
        <v>1.1399999999999999</v>
      </c>
      <c r="U5">
        <v>30.77</v>
      </c>
      <c r="V5">
        <v>38.46</v>
      </c>
      <c r="W5">
        <v>30.77</v>
      </c>
      <c r="X5">
        <v>58.33</v>
      </c>
      <c r="Y5">
        <v>25</v>
      </c>
      <c r="Z5">
        <v>16.670000000000002</v>
      </c>
    </row>
    <row r="6" spans="1:26" hidden="1" x14ac:dyDescent="0.25">
      <c r="A6" s="1">
        <v>46081</v>
      </c>
      <c r="B6" s="6">
        <v>0.41666666666666669</v>
      </c>
      <c r="C6" s="2" t="s">
        <v>45</v>
      </c>
      <c r="D6">
        <v>29</v>
      </c>
      <c r="E6" s="2" t="s">
        <v>225</v>
      </c>
      <c r="F6" s="2" t="s">
        <v>47</v>
      </c>
      <c r="G6" s="2" t="s">
        <v>99</v>
      </c>
      <c r="H6" s="2" t="s">
        <v>100</v>
      </c>
      <c r="I6">
        <v>1.79</v>
      </c>
      <c r="J6">
        <v>6.95</v>
      </c>
      <c r="K6">
        <v>1.36</v>
      </c>
      <c r="L6">
        <v>0.02</v>
      </c>
      <c r="M6">
        <v>11.38</v>
      </c>
      <c r="N6">
        <v>0.21</v>
      </c>
      <c r="O6">
        <v>3.39</v>
      </c>
      <c r="P6">
        <v>5.69</v>
      </c>
      <c r="Q6">
        <v>0.43</v>
      </c>
      <c r="R6">
        <v>0.59</v>
      </c>
      <c r="S6">
        <v>1.08</v>
      </c>
      <c r="T6">
        <v>0.42</v>
      </c>
      <c r="U6">
        <v>71.430000000000007</v>
      </c>
      <c r="V6">
        <v>21.43</v>
      </c>
      <c r="W6">
        <v>7.14</v>
      </c>
      <c r="X6">
        <v>0</v>
      </c>
      <c r="Y6">
        <v>14.29</v>
      </c>
      <c r="Z6">
        <v>85.71</v>
      </c>
    </row>
    <row r="7" spans="1:26" hidden="1" x14ac:dyDescent="0.25">
      <c r="A7" s="1">
        <v>46081</v>
      </c>
      <c r="B7" s="6">
        <v>0.41666666666666669</v>
      </c>
      <c r="C7" s="2" t="s">
        <v>50</v>
      </c>
      <c r="D7">
        <v>26</v>
      </c>
      <c r="E7" s="2" t="s">
        <v>111</v>
      </c>
      <c r="F7" s="2" t="s">
        <v>260</v>
      </c>
      <c r="G7" s="2" t="s">
        <v>99</v>
      </c>
      <c r="H7" s="2" t="s">
        <v>100</v>
      </c>
      <c r="I7">
        <v>2.27</v>
      </c>
      <c r="J7">
        <v>3.48</v>
      </c>
      <c r="K7">
        <v>0.74</v>
      </c>
      <c r="L7">
        <v>0.34</v>
      </c>
      <c r="M7">
        <v>4.79</v>
      </c>
      <c r="N7">
        <v>2.2400000000000002</v>
      </c>
      <c r="O7">
        <v>3.3</v>
      </c>
      <c r="P7">
        <v>3.88</v>
      </c>
      <c r="Q7">
        <v>0.52</v>
      </c>
      <c r="R7">
        <v>0.59</v>
      </c>
      <c r="S7">
        <v>0.96</v>
      </c>
      <c r="T7">
        <v>0.77</v>
      </c>
      <c r="U7">
        <v>46.15</v>
      </c>
      <c r="V7">
        <v>23.08</v>
      </c>
      <c r="W7">
        <v>30.77</v>
      </c>
      <c r="X7">
        <v>30.77</v>
      </c>
      <c r="Y7">
        <v>23.08</v>
      </c>
      <c r="Z7">
        <v>46.15</v>
      </c>
    </row>
    <row r="8" spans="1:26" hidden="1" x14ac:dyDescent="0.25">
      <c r="A8" s="1">
        <v>46081</v>
      </c>
      <c r="B8" s="6">
        <v>0.45833333333333331</v>
      </c>
      <c r="C8" s="2" t="s">
        <v>201</v>
      </c>
      <c r="D8">
        <v>24</v>
      </c>
      <c r="E8" s="2" t="s">
        <v>262</v>
      </c>
      <c r="F8" s="2" t="s">
        <v>263</v>
      </c>
      <c r="G8" s="2" t="s">
        <v>102</v>
      </c>
      <c r="H8" s="2" t="s">
        <v>103</v>
      </c>
      <c r="I8">
        <v>3.37</v>
      </c>
      <c r="J8">
        <v>3.27</v>
      </c>
      <c r="K8">
        <v>0.35</v>
      </c>
      <c r="L8">
        <v>0.72</v>
      </c>
      <c r="M8">
        <v>2.33</v>
      </c>
      <c r="N8">
        <v>4.9800000000000004</v>
      </c>
      <c r="O8">
        <v>4.22</v>
      </c>
      <c r="P8">
        <v>5.21</v>
      </c>
      <c r="Q8">
        <v>0.56999999999999995</v>
      </c>
      <c r="R8">
        <v>0.64</v>
      </c>
      <c r="S8">
        <v>0.86</v>
      </c>
      <c r="T8">
        <v>0.77</v>
      </c>
      <c r="U8">
        <v>16.670000000000002</v>
      </c>
      <c r="V8">
        <v>41.67</v>
      </c>
      <c r="W8">
        <v>41.67</v>
      </c>
      <c r="X8">
        <v>63.64</v>
      </c>
      <c r="Y8">
        <v>9.09</v>
      </c>
      <c r="Z8">
        <v>27.27</v>
      </c>
    </row>
    <row r="9" spans="1:26" hidden="1" x14ac:dyDescent="0.25">
      <c r="A9" s="1">
        <v>46081</v>
      </c>
      <c r="B9" s="6">
        <v>0.45833333333333331</v>
      </c>
      <c r="C9" s="2" t="s">
        <v>201</v>
      </c>
      <c r="D9">
        <v>24</v>
      </c>
      <c r="E9" s="2" t="s">
        <v>258</v>
      </c>
      <c r="F9" s="2" t="s">
        <v>227</v>
      </c>
      <c r="G9" s="2" t="s">
        <v>99</v>
      </c>
      <c r="H9" s="2" t="s">
        <v>100</v>
      </c>
      <c r="I9">
        <v>2.42</v>
      </c>
      <c r="J9">
        <v>4.8099999999999996</v>
      </c>
      <c r="K9">
        <v>0.9</v>
      </c>
      <c r="L9">
        <v>0.28999999999999998</v>
      </c>
      <c r="M9">
        <v>7.04</v>
      </c>
      <c r="N9">
        <v>2.11</v>
      </c>
      <c r="O9">
        <v>3.01</v>
      </c>
      <c r="P9">
        <v>6.83</v>
      </c>
      <c r="Q9">
        <v>0.39</v>
      </c>
      <c r="R9">
        <v>0.71</v>
      </c>
      <c r="S9">
        <v>0.82</v>
      </c>
      <c r="T9">
        <v>0.78</v>
      </c>
      <c r="U9">
        <v>54.55</v>
      </c>
      <c r="V9">
        <v>27.27</v>
      </c>
      <c r="W9">
        <v>18.18</v>
      </c>
      <c r="X9">
        <v>25</v>
      </c>
      <c r="Y9">
        <v>25</v>
      </c>
      <c r="Z9">
        <v>50</v>
      </c>
    </row>
    <row r="10" spans="1:26" hidden="1" x14ac:dyDescent="0.25">
      <c r="A10" s="1">
        <v>46081</v>
      </c>
      <c r="B10" s="6">
        <v>0.45833333333333331</v>
      </c>
      <c r="C10" s="2" t="s">
        <v>63</v>
      </c>
      <c r="D10">
        <v>27</v>
      </c>
      <c r="E10" s="2" t="s">
        <v>187</v>
      </c>
      <c r="F10" s="2" t="s">
        <v>77</v>
      </c>
      <c r="G10" s="2" t="s">
        <v>99</v>
      </c>
      <c r="H10" s="2" t="s">
        <v>100</v>
      </c>
      <c r="I10">
        <v>1.94</v>
      </c>
      <c r="J10">
        <v>3.97</v>
      </c>
      <c r="K10">
        <v>0.86</v>
      </c>
      <c r="L10">
        <v>0.31</v>
      </c>
      <c r="M10">
        <v>7.1</v>
      </c>
      <c r="N10">
        <v>2.39</v>
      </c>
      <c r="O10">
        <v>2.81</v>
      </c>
      <c r="P10">
        <v>3.41</v>
      </c>
      <c r="Q10">
        <v>0.34</v>
      </c>
      <c r="R10">
        <v>0.42</v>
      </c>
      <c r="S10">
        <v>0.74</v>
      </c>
      <c r="T10">
        <v>0.42</v>
      </c>
      <c r="U10">
        <v>46.15</v>
      </c>
      <c r="V10">
        <v>23.08</v>
      </c>
      <c r="W10">
        <v>30.77</v>
      </c>
      <c r="X10">
        <v>30.77</v>
      </c>
      <c r="Y10">
        <v>23.08</v>
      </c>
      <c r="Z10">
        <v>46.15</v>
      </c>
    </row>
    <row r="11" spans="1:26" hidden="1" x14ac:dyDescent="0.25">
      <c r="A11" s="1">
        <v>46081</v>
      </c>
      <c r="B11" s="6">
        <v>0.47916666666666669</v>
      </c>
      <c r="C11" s="2" t="s">
        <v>42</v>
      </c>
      <c r="D11">
        <v>24</v>
      </c>
      <c r="E11" s="2" t="s">
        <v>127</v>
      </c>
      <c r="F11" s="2" t="s">
        <v>264</v>
      </c>
      <c r="G11" s="2" t="s">
        <v>99</v>
      </c>
      <c r="H11" s="2" t="s">
        <v>100</v>
      </c>
      <c r="I11">
        <v>1.79</v>
      </c>
      <c r="J11">
        <v>5.18</v>
      </c>
      <c r="K11">
        <v>1.1499999999999999</v>
      </c>
      <c r="L11">
        <v>0.22</v>
      </c>
      <c r="M11">
        <v>9.18</v>
      </c>
      <c r="N11">
        <v>1.6</v>
      </c>
      <c r="O11">
        <v>3.71</v>
      </c>
      <c r="P11">
        <v>7.1</v>
      </c>
      <c r="Q11">
        <v>0.47</v>
      </c>
      <c r="R11">
        <v>0.65</v>
      </c>
      <c r="S11">
        <v>1.31</v>
      </c>
      <c r="T11">
        <v>0.69</v>
      </c>
      <c r="U11">
        <v>63.64</v>
      </c>
      <c r="V11">
        <v>9.09</v>
      </c>
      <c r="W11">
        <v>27.27</v>
      </c>
      <c r="X11">
        <v>18.18</v>
      </c>
      <c r="Y11">
        <v>27.27</v>
      </c>
      <c r="Z11">
        <v>54.55</v>
      </c>
    </row>
    <row r="12" spans="1:26" x14ac:dyDescent="0.25">
      <c r="A12" s="1">
        <v>46082</v>
      </c>
      <c r="B12" s="6">
        <v>0.47916666666666669</v>
      </c>
      <c r="C12" s="2" t="s">
        <v>42</v>
      </c>
      <c r="D12">
        <v>24</v>
      </c>
      <c r="E12" s="2" t="s">
        <v>176</v>
      </c>
      <c r="F12" s="2" t="s">
        <v>203</v>
      </c>
      <c r="G12" s="2" t="s">
        <v>99</v>
      </c>
      <c r="H12" s="2" t="s">
        <v>100</v>
      </c>
      <c r="I12">
        <v>1.98</v>
      </c>
      <c r="J12">
        <v>4.57</v>
      </c>
      <c r="K12">
        <v>1.36</v>
      </c>
      <c r="L12">
        <v>0.28000000000000003</v>
      </c>
      <c r="M12">
        <v>10.97</v>
      </c>
      <c r="N12">
        <v>2</v>
      </c>
      <c r="O12">
        <v>2.48</v>
      </c>
      <c r="P12">
        <v>5.36</v>
      </c>
      <c r="Q12">
        <v>0.31</v>
      </c>
      <c r="R12">
        <v>0.66</v>
      </c>
      <c r="S12">
        <v>0.98</v>
      </c>
      <c r="T12">
        <v>0.81</v>
      </c>
      <c r="U12">
        <v>72.73</v>
      </c>
      <c r="V12">
        <v>18.18</v>
      </c>
      <c r="W12">
        <v>9.09</v>
      </c>
      <c r="X12">
        <v>27.27</v>
      </c>
      <c r="Y12">
        <v>18.18</v>
      </c>
      <c r="Z12">
        <v>54.55</v>
      </c>
    </row>
    <row r="13" spans="1:26" hidden="1" x14ac:dyDescent="0.25">
      <c r="A13" s="1">
        <v>46081</v>
      </c>
      <c r="B13" s="6">
        <v>0.5</v>
      </c>
      <c r="C13" s="2" t="s">
        <v>21</v>
      </c>
      <c r="D13">
        <v>35</v>
      </c>
      <c r="E13" s="2" t="s">
        <v>134</v>
      </c>
      <c r="F13" s="2" t="s">
        <v>290</v>
      </c>
      <c r="G13" s="2" t="s">
        <v>102</v>
      </c>
      <c r="H13" s="2" t="s">
        <v>103</v>
      </c>
      <c r="I13">
        <v>2.65</v>
      </c>
      <c r="J13">
        <v>3.64</v>
      </c>
      <c r="K13">
        <v>0.62</v>
      </c>
      <c r="L13">
        <v>0.46</v>
      </c>
      <c r="M13">
        <v>4.62</v>
      </c>
      <c r="N13">
        <v>3.5</v>
      </c>
      <c r="O13">
        <v>2.66</v>
      </c>
      <c r="P13">
        <v>4.38</v>
      </c>
      <c r="Q13">
        <v>0.36</v>
      </c>
      <c r="R13">
        <v>0.59</v>
      </c>
      <c r="S13">
        <v>0.55000000000000004</v>
      </c>
      <c r="T13">
        <v>0.68</v>
      </c>
      <c r="U13">
        <v>43.75</v>
      </c>
      <c r="V13">
        <v>25</v>
      </c>
      <c r="W13">
        <v>31.25</v>
      </c>
      <c r="X13">
        <v>37.5</v>
      </c>
      <c r="Y13">
        <v>37.5</v>
      </c>
      <c r="Z13">
        <v>25</v>
      </c>
    </row>
    <row r="14" spans="1:26" hidden="1" x14ac:dyDescent="0.25">
      <c r="A14" s="1">
        <v>46081</v>
      </c>
      <c r="B14" s="6">
        <v>0.5</v>
      </c>
      <c r="C14" s="2" t="s">
        <v>27</v>
      </c>
      <c r="D14">
        <v>35</v>
      </c>
      <c r="E14" s="2" t="s">
        <v>257</v>
      </c>
      <c r="F14" s="2" t="s">
        <v>172</v>
      </c>
      <c r="G14" s="2" t="s">
        <v>102</v>
      </c>
      <c r="H14" s="2" t="s">
        <v>103</v>
      </c>
      <c r="I14">
        <v>2.93</v>
      </c>
      <c r="J14">
        <v>3.81</v>
      </c>
      <c r="K14">
        <v>0.44</v>
      </c>
      <c r="L14">
        <v>0.44</v>
      </c>
      <c r="M14">
        <v>3.08</v>
      </c>
      <c r="N14">
        <v>3.19</v>
      </c>
      <c r="O14">
        <v>3.15</v>
      </c>
      <c r="P14">
        <v>5.92</v>
      </c>
      <c r="Q14">
        <v>0.45</v>
      </c>
      <c r="R14">
        <v>0.82</v>
      </c>
      <c r="S14">
        <v>0.61</v>
      </c>
      <c r="T14">
        <v>0.98</v>
      </c>
      <c r="U14">
        <v>29.41</v>
      </c>
      <c r="V14">
        <v>35.29</v>
      </c>
      <c r="W14">
        <v>35.29</v>
      </c>
      <c r="X14">
        <v>50</v>
      </c>
      <c r="Y14">
        <v>6.25</v>
      </c>
      <c r="Z14">
        <v>43.75</v>
      </c>
    </row>
    <row r="15" spans="1:26" hidden="1" x14ac:dyDescent="0.25">
      <c r="A15" s="1">
        <v>46081</v>
      </c>
      <c r="B15" s="6">
        <v>0.5</v>
      </c>
      <c r="C15" s="2" t="s">
        <v>20</v>
      </c>
      <c r="D15">
        <v>28</v>
      </c>
      <c r="E15" s="2" t="s">
        <v>244</v>
      </c>
      <c r="F15" s="2" t="s">
        <v>161</v>
      </c>
      <c r="G15" s="2" t="s">
        <v>99</v>
      </c>
      <c r="H15" s="2" t="s">
        <v>100</v>
      </c>
      <c r="I15">
        <v>1.6</v>
      </c>
      <c r="J15">
        <v>5.33</v>
      </c>
      <c r="K15">
        <v>1.21</v>
      </c>
      <c r="L15">
        <v>0.25</v>
      </c>
      <c r="M15">
        <v>12.05</v>
      </c>
      <c r="N15">
        <v>1.92</v>
      </c>
      <c r="O15">
        <v>2.52</v>
      </c>
      <c r="P15">
        <v>5.83</v>
      </c>
      <c r="Q15">
        <v>0.28999999999999998</v>
      </c>
      <c r="R15">
        <v>0.73</v>
      </c>
      <c r="S15">
        <v>0.99</v>
      </c>
      <c r="T15">
        <v>0.75</v>
      </c>
      <c r="U15">
        <v>53.85</v>
      </c>
      <c r="V15">
        <v>23.08</v>
      </c>
      <c r="W15">
        <v>23.08</v>
      </c>
      <c r="X15">
        <v>25</v>
      </c>
      <c r="Y15">
        <v>33.33</v>
      </c>
      <c r="Z15">
        <v>41.67</v>
      </c>
    </row>
    <row r="16" spans="1:26" hidden="1" x14ac:dyDescent="0.25">
      <c r="A16" s="1">
        <v>46081</v>
      </c>
      <c r="B16" s="6">
        <v>0.5</v>
      </c>
      <c r="C16" s="2" t="s">
        <v>27</v>
      </c>
      <c r="D16">
        <v>35</v>
      </c>
      <c r="E16" s="2" t="s">
        <v>68</v>
      </c>
      <c r="F16" s="2" t="s">
        <v>150</v>
      </c>
      <c r="G16" s="2" t="s">
        <v>99</v>
      </c>
      <c r="H16" s="2" t="s">
        <v>100</v>
      </c>
      <c r="I16">
        <v>2.0699999999999998</v>
      </c>
      <c r="J16">
        <v>3.56</v>
      </c>
      <c r="K16">
        <v>1.19</v>
      </c>
      <c r="L16">
        <v>0.23</v>
      </c>
      <c r="M16">
        <v>8.84</v>
      </c>
      <c r="N16">
        <v>1.6</v>
      </c>
      <c r="O16">
        <v>4.34</v>
      </c>
      <c r="P16">
        <v>3.52</v>
      </c>
      <c r="Q16">
        <v>0.6</v>
      </c>
      <c r="R16">
        <v>0.46</v>
      </c>
      <c r="S16">
        <v>1.1299999999999999</v>
      </c>
      <c r="T16">
        <v>0.52</v>
      </c>
      <c r="U16">
        <v>70.59</v>
      </c>
      <c r="V16">
        <v>23.53</v>
      </c>
      <c r="W16">
        <v>5.88</v>
      </c>
      <c r="X16">
        <v>18.75</v>
      </c>
      <c r="Y16">
        <v>18.75</v>
      </c>
      <c r="Z16">
        <v>62.5</v>
      </c>
    </row>
    <row r="17" spans="1:26" hidden="1" x14ac:dyDescent="0.25">
      <c r="A17" s="1">
        <v>46081</v>
      </c>
      <c r="B17" s="6">
        <v>0.5</v>
      </c>
      <c r="C17" s="2" t="s">
        <v>27</v>
      </c>
      <c r="D17">
        <v>35</v>
      </c>
      <c r="E17" s="2" t="s">
        <v>70</v>
      </c>
      <c r="F17" s="2" t="s">
        <v>108</v>
      </c>
      <c r="G17" s="2" t="s">
        <v>99</v>
      </c>
      <c r="H17" s="2" t="s">
        <v>100</v>
      </c>
      <c r="I17">
        <v>2.0699999999999998</v>
      </c>
      <c r="J17">
        <v>4.5</v>
      </c>
      <c r="K17">
        <v>0.96</v>
      </c>
      <c r="L17">
        <v>0.22</v>
      </c>
      <c r="M17">
        <v>7.06</v>
      </c>
      <c r="N17">
        <v>1.68</v>
      </c>
      <c r="O17">
        <v>3.98</v>
      </c>
      <c r="P17">
        <v>4.47</v>
      </c>
      <c r="Q17">
        <v>0.56000000000000005</v>
      </c>
      <c r="R17">
        <v>0.56000000000000005</v>
      </c>
      <c r="S17">
        <v>1.07</v>
      </c>
      <c r="T17">
        <v>0.53</v>
      </c>
      <c r="U17">
        <v>58.82</v>
      </c>
      <c r="V17">
        <v>17.649999999999999</v>
      </c>
      <c r="W17">
        <v>23.53</v>
      </c>
      <c r="X17">
        <v>17.649999999999999</v>
      </c>
      <c r="Y17">
        <v>41.18</v>
      </c>
      <c r="Z17">
        <v>41.18</v>
      </c>
    </row>
    <row r="18" spans="1:26" x14ac:dyDescent="0.25">
      <c r="A18" s="1">
        <v>46082</v>
      </c>
      <c r="B18" s="6">
        <v>0.51041666666666663</v>
      </c>
      <c r="C18" s="2" t="s">
        <v>31</v>
      </c>
      <c r="D18">
        <v>28</v>
      </c>
      <c r="E18" s="2" t="s">
        <v>35</v>
      </c>
      <c r="F18" s="2" t="s">
        <v>274</v>
      </c>
      <c r="G18" s="2" t="s">
        <v>99</v>
      </c>
      <c r="H18" s="2" t="s">
        <v>100</v>
      </c>
      <c r="I18">
        <v>2.02</v>
      </c>
      <c r="J18">
        <v>3.32</v>
      </c>
      <c r="K18">
        <v>0.9</v>
      </c>
      <c r="L18">
        <v>0.39</v>
      </c>
      <c r="M18">
        <v>7.08</v>
      </c>
      <c r="N18">
        <v>2.88</v>
      </c>
      <c r="O18">
        <v>3.05</v>
      </c>
      <c r="P18">
        <v>3.49</v>
      </c>
      <c r="Q18">
        <v>0.41</v>
      </c>
      <c r="R18">
        <v>0.49</v>
      </c>
      <c r="S18">
        <v>0.83</v>
      </c>
      <c r="T18">
        <v>0.59</v>
      </c>
      <c r="U18">
        <v>50</v>
      </c>
      <c r="V18">
        <v>28.57</v>
      </c>
      <c r="W18">
        <v>21.43</v>
      </c>
      <c r="X18">
        <v>28.57</v>
      </c>
      <c r="Y18">
        <v>35.71</v>
      </c>
      <c r="Z18">
        <v>35.71</v>
      </c>
    </row>
    <row r="19" spans="1:26" x14ac:dyDescent="0.25">
      <c r="A19" s="1">
        <v>46082</v>
      </c>
      <c r="B19" s="6">
        <v>0.52083333333333337</v>
      </c>
      <c r="C19" s="2" t="s">
        <v>50</v>
      </c>
      <c r="D19">
        <v>26</v>
      </c>
      <c r="E19" s="2" t="s">
        <v>116</v>
      </c>
      <c r="F19" s="2" t="s">
        <v>137</v>
      </c>
      <c r="G19" s="2" t="s">
        <v>99</v>
      </c>
      <c r="H19" s="2" t="s">
        <v>100</v>
      </c>
      <c r="I19">
        <v>2.06</v>
      </c>
      <c r="J19">
        <v>5.5</v>
      </c>
      <c r="K19">
        <v>1.25</v>
      </c>
      <c r="L19">
        <v>0.1</v>
      </c>
      <c r="M19">
        <v>8.6300000000000008</v>
      </c>
      <c r="N19">
        <v>0.77</v>
      </c>
      <c r="O19">
        <v>4.54</v>
      </c>
      <c r="P19">
        <v>7.55</v>
      </c>
      <c r="Q19">
        <v>0.7</v>
      </c>
      <c r="R19">
        <v>0.89</v>
      </c>
      <c r="S19">
        <v>1.35</v>
      </c>
      <c r="T19">
        <v>0.84</v>
      </c>
      <c r="U19">
        <v>75</v>
      </c>
      <c r="V19">
        <v>25</v>
      </c>
      <c r="W19">
        <v>0</v>
      </c>
      <c r="X19">
        <v>8.33</v>
      </c>
      <c r="Y19">
        <v>25</v>
      </c>
      <c r="Z19">
        <v>66.67</v>
      </c>
    </row>
    <row r="20" spans="1:26" x14ac:dyDescent="0.25">
      <c r="A20" s="1">
        <v>46082</v>
      </c>
      <c r="B20" s="6">
        <v>0.55208333333333337</v>
      </c>
      <c r="C20" s="2" t="s">
        <v>36</v>
      </c>
      <c r="D20">
        <v>24</v>
      </c>
      <c r="E20" s="2" t="s">
        <v>132</v>
      </c>
      <c r="F20" s="2" t="s">
        <v>180</v>
      </c>
      <c r="G20" s="2" t="s">
        <v>99</v>
      </c>
      <c r="H20" s="2" t="s">
        <v>100</v>
      </c>
      <c r="I20">
        <v>2.14</v>
      </c>
      <c r="J20">
        <v>5.59</v>
      </c>
      <c r="K20">
        <v>0.96</v>
      </c>
      <c r="L20">
        <v>0.16</v>
      </c>
      <c r="M20">
        <v>8.49</v>
      </c>
      <c r="N20">
        <v>1.36</v>
      </c>
      <c r="O20">
        <v>2.98</v>
      </c>
      <c r="P20">
        <v>5.44</v>
      </c>
      <c r="Q20">
        <v>0.36</v>
      </c>
      <c r="R20">
        <v>0.57999999999999996</v>
      </c>
      <c r="S20">
        <v>0.91</v>
      </c>
      <c r="T20">
        <v>0.49</v>
      </c>
      <c r="U20">
        <v>54.55</v>
      </c>
      <c r="V20">
        <v>18.18</v>
      </c>
      <c r="W20">
        <v>27.27</v>
      </c>
      <c r="X20">
        <v>18.18</v>
      </c>
      <c r="Y20">
        <v>27.27</v>
      </c>
      <c r="Z20">
        <v>54.55</v>
      </c>
    </row>
    <row r="21" spans="1:26" x14ac:dyDescent="0.25">
      <c r="A21" s="1">
        <v>46082</v>
      </c>
      <c r="B21" s="6">
        <v>0.5625</v>
      </c>
      <c r="C21" s="2" t="s">
        <v>42</v>
      </c>
      <c r="D21">
        <v>24</v>
      </c>
      <c r="E21" s="2" t="s">
        <v>276</v>
      </c>
      <c r="F21" s="2" t="s">
        <v>44</v>
      </c>
      <c r="G21" s="2" t="s">
        <v>99</v>
      </c>
      <c r="H21" s="2" t="s">
        <v>100</v>
      </c>
      <c r="I21">
        <v>2.4300000000000002</v>
      </c>
      <c r="J21">
        <v>4.05</v>
      </c>
      <c r="K21">
        <v>0.74</v>
      </c>
      <c r="L21">
        <v>0.24</v>
      </c>
      <c r="M21">
        <v>5.53</v>
      </c>
      <c r="N21">
        <v>1.69</v>
      </c>
      <c r="O21">
        <v>3.72</v>
      </c>
      <c r="P21">
        <v>4.5199999999999996</v>
      </c>
      <c r="Q21">
        <v>0.51</v>
      </c>
      <c r="R21">
        <v>0.5</v>
      </c>
      <c r="S21">
        <v>1.1399999999999999</v>
      </c>
      <c r="T21">
        <v>0.65</v>
      </c>
      <c r="U21">
        <v>45.45</v>
      </c>
      <c r="V21">
        <v>18.18</v>
      </c>
      <c r="W21">
        <v>36.36</v>
      </c>
      <c r="X21">
        <v>16.670000000000002</v>
      </c>
      <c r="Y21">
        <v>25</v>
      </c>
      <c r="Z21">
        <v>58.33</v>
      </c>
    </row>
    <row r="22" spans="1:26" hidden="1" x14ac:dyDescent="0.25">
      <c r="A22" s="1">
        <v>46081</v>
      </c>
      <c r="B22" s="6">
        <v>0.58333333333333337</v>
      </c>
      <c r="C22" s="2" t="s">
        <v>62</v>
      </c>
      <c r="D22">
        <v>27</v>
      </c>
      <c r="E22" s="2" t="s">
        <v>266</v>
      </c>
      <c r="F22" s="2" t="s">
        <v>178</v>
      </c>
      <c r="G22" s="2" t="s">
        <v>102</v>
      </c>
      <c r="H22" s="2" t="s">
        <v>103</v>
      </c>
      <c r="I22">
        <v>3.65</v>
      </c>
      <c r="J22">
        <v>2.59</v>
      </c>
      <c r="K22">
        <v>0.19</v>
      </c>
      <c r="L22">
        <v>0.69</v>
      </c>
      <c r="M22">
        <v>1.47</v>
      </c>
      <c r="N22">
        <v>5.9</v>
      </c>
      <c r="O22">
        <v>3.83</v>
      </c>
      <c r="P22">
        <v>3.2</v>
      </c>
      <c r="Q22">
        <v>0.44</v>
      </c>
      <c r="R22">
        <v>0.38</v>
      </c>
      <c r="S22">
        <v>0.46</v>
      </c>
      <c r="T22">
        <v>0.63</v>
      </c>
      <c r="U22">
        <v>8.33</v>
      </c>
      <c r="V22">
        <v>33.33</v>
      </c>
      <c r="W22">
        <v>58.33</v>
      </c>
      <c r="X22">
        <v>50</v>
      </c>
      <c r="Y22">
        <v>7.14</v>
      </c>
      <c r="Z22">
        <v>42.86</v>
      </c>
    </row>
    <row r="23" spans="1:26" hidden="1" x14ac:dyDescent="0.25">
      <c r="A23" s="1">
        <v>46081</v>
      </c>
      <c r="B23" s="6">
        <v>0.59375</v>
      </c>
      <c r="C23" s="2" t="s">
        <v>61</v>
      </c>
      <c r="D23">
        <v>27</v>
      </c>
      <c r="E23" s="2" t="s">
        <v>261</v>
      </c>
      <c r="F23" s="2" t="s">
        <v>84</v>
      </c>
      <c r="G23" s="2" t="s">
        <v>102</v>
      </c>
      <c r="H23" s="2" t="s">
        <v>103</v>
      </c>
      <c r="I23">
        <v>2.67</v>
      </c>
      <c r="J23">
        <v>3.59</v>
      </c>
      <c r="K23">
        <v>0.56000000000000005</v>
      </c>
      <c r="L23">
        <v>0.66</v>
      </c>
      <c r="M23">
        <v>4.1100000000000003</v>
      </c>
      <c r="N23">
        <v>4.66</v>
      </c>
      <c r="O23">
        <v>3.61</v>
      </c>
      <c r="P23">
        <v>4.92</v>
      </c>
      <c r="Q23">
        <v>0.49</v>
      </c>
      <c r="R23">
        <v>0.73</v>
      </c>
      <c r="S23">
        <v>0.86</v>
      </c>
      <c r="T23">
        <v>1.1399999999999999</v>
      </c>
      <c r="U23">
        <v>38.46</v>
      </c>
      <c r="V23">
        <v>23.08</v>
      </c>
      <c r="W23">
        <v>38.46</v>
      </c>
      <c r="X23">
        <v>61.54</v>
      </c>
      <c r="Y23">
        <v>15.38</v>
      </c>
      <c r="Z23">
        <v>23.08</v>
      </c>
    </row>
    <row r="24" spans="1:26" x14ac:dyDescent="0.25">
      <c r="A24" s="1">
        <v>46082</v>
      </c>
      <c r="B24" s="6">
        <v>0.60416666666666663</v>
      </c>
      <c r="C24" s="2" t="s">
        <v>201</v>
      </c>
      <c r="D24">
        <v>24</v>
      </c>
      <c r="E24" s="2" t="s">
        <v>272</v>
      </c>
      <c r="F24" s="2" t="s">
        <v>273</v>
      </c>
      <c r="G24" s="2" t="s">
        <v>99</v>
      </c>
      <c r="H24" s="2" t="s">
        <v>100</v>
      </c>
      <c r="I24">
        <v>2.52</v>
      </c>
      <c r="J24">
        <v>3.9</v>
      </c>
      <c r="K24">
        <v>0.85</v>
      </c>
      <c r="L24">
        <v>0.43</v>
      </c>
      <c r="M24">
        <v>6.22</v>
      </c>
      <c r="N24">
        <v>2.88</v>
      </c>
      <c r="O24">
        <v>2.04</v>
      </c>
      <c r="P24">
        <v>4.0599999999999996</v>
      </c>
      <c r="Q24">
        <v>0.28999999999999998</v>
      </c>
      <c r="R24">
        <v>0.53</v>
      </c>
      <c r="S24">
        <v>0.51</v>
      </c>
      <c r="T24">
        <v>0.62</v>
      </c>
      <c r="U24">
        <v>54.55</v>
      </c>
      <c r="V24">
        <v>27.27</v>
      </c>
      <c r="W24">
        <v>18.18</v>
      </c>
      <c r="X24">
        <v>36.36</v>
      </c>
      <c r="Y24">
        <v>27.27</v>
      </c>
      <c r="Z24">
        <v>36.36</v>
      </c>
    </row>
    <row r="25" spans="1:26" x14ac:dyDescent="0.25">
      <c r="A25" s="1">
        <v>46082</v>
      </c>
      <c r="B25" s="6">
        <v>0.60416666666666663</v>
      </c>
      <c r="C25" s="2" t="s">
        <v>29</v>
      </c>
      <c r="D25">
        <v>26</v>
      </c>
      <c r="E25" s="2" t="s">
        <v>158</v>
      </c>
      <c r="F25" s="2" t="s">
        <v>275</v>
      </c>
      <c r="G25" s="2" t="s">
        <v>99</v>
      </c>
      <c r="H25" s="2" t="s">
        <v>100</v>
      </c>
      <c r="I25">
        <v>2.2400000000000002</v>
      </c>
      <c r="J25">
        <v>4.96</v>
      </c>
      <c r="K25">
        <v>0.94</v>
      </c>
      <c r="L25">
        <v>0.28999999999999998</v>
      </c>
      <c r="M25">
        <v>7.74</v>
      </c>
      <c r="N25">
        <v>2.35</v>
      </c>
      <c r="O25">
        <v>4.1500000000000004</v>
      </c>
      <c r="P25">
        <v>4.4400000000000004</v>
      </c>
      <c r="Q25">
        <v>0.54</v>
      </c>
      <c r="R25">
        <v>0.55000000000000004</v>
      </c>
      <c r="S25">
        <v>1.0900000000000001</v>
      </c>
      <c r="T25">
        <v>0.6</v>
      </c>
      <c r="U25">
        <v>58.33</v>
      </c>
      <c r="V25">
        <v>16.670000000000002</v>
      </c>
      <c r="W25">
        <v>25</v>
      </c>
      <c r="X25">
        <v>33.33</v>
      </c>
      <c r="Y25">
        <v>16.670000000000002</v>
      </c>
      <c r="Z25">
        <v>50</v>
      </c>
    </row>
    <row r="26" spans="1:26" hidden="1" x14ac:dyDescent="0.25">
      <c r="A26" s="1">
        <v>46083</v>
      </c>
      <c r="B26" s="6">
        <v>0.60416666666666663</v>
      </c>
      <c r="C26" s="2" t="s">
        <v>62</v>
      </c>
      <c r="D26">
        <v>27</v>
      </c>
      <c r="E26" s="2" t="s">
        <v>229</v>
      </c>
      <c r="F26" s="2" t="s">
        <v>88</v>
      </c>
      <c r="G26" s="2" t="s">
        <v>102</v>
      </c>
      <c r="H26" s="2" t="s">
        <v>103</v>
      </c>
      <c r="I26">
        <v>4.4800000000000004</v>
      </c>
      <c r="J26">
        <v>3.19</v>
      </c>
      <c r="K26">
        <v>0.14000000000000001</v>
      </c>
      <c r="L26">
        <v>0.54</v>
      </c>
      <c r="M26">
        <v>1.18</v>
      </c>
      <c r="N26">
        <v>4.21</v>
      </c>
      <c r="O26">
        <v>1.36</v>
      </c>
      <c r="P26">
        <v>4.46</v>
      </c>
      <c r="Q26">
        <v>0.16</v>
      </c>
      <c r="R26">
        <v>0.56000000000000005</v>
      </c>
      <c r="S26">
        <v>0.15</v>
      </c>
      <c r="T26">
        <v>0.88</v>
      </c>
      <c r="U26">
        <v>7.69</v>
      </c>
      <c r="V26">
        <v>30.77</v>
      </c>
      <c r="W26">
        <v>61.54</v>
      </c>
      <c r="X26">
        <v>38.46</v>
      </c>
      <c r="Y26">
        <v>30.77</v>
      </c>
      <c r="Z26">
        <v>30.77</v>
      </c>
    </row>
    <row r="27" spans="1:26" hidden="1" x14ac:dyDescent="0.25">
      <c r="A27" s="1">
        <v>46083</v>
      </c>
      <c r="B27" s="6">
        <v>0.60416666666666663</v>
      </c>
      <c r="C27" s="2" t="s">
        <v>45</v>
      </c>
      <c r="D27">
        <v>29</v>
      </c>
      <c r="E27" s="2" t="s">
        <v>224</v>
      </c>
      <c r="F27" s="2" t="s">
        <v>46</v>
      </c>
      <c r="G27" s="2" t="s">
        <v>102</v>
      </c>
      <c r="H27" s="2" t="s">
        <v>103</v>
      </c>
      <c r="I27">
        <v>3.74</v>
      </c>
      <c r="J27">
        <v>2.4500000000000002</v>
      </c>
      <c r="K27">
        <v>0.28000000000000003</v>
      </c>
      <c r="L27">
        <v>0.79</v>
      </c>
      <c r="M27">
        <v>2.16</v>
      </c>
      <c r="N27">
        <v>6.02</v>
      </c>
      <c r="O27">
        <v>2.64</v>
      </c>
      <c r="P27">
        <v>3.08</v>
      </c>
      <c r="Q27">
        <v>0.35</v>
      </c>
      <c r="R27">
        <v>0.42</v>
      </c>
      <c r="S27">
        <v>0.51</v>
      </c>
      <c r="T27">
        <v>0.71</v>
      </c>
      <c r="U27">
        <v>28.57</v>
      </c>
      <c r="V27">
        <v>7.14</v>
      </c>
      <c r="W27">
        <v>64.290000000000006</v>
      </c>
      <c r="X27">
        <v>50</v>
      </c>
      <c r="Y27">
        <v>28.57</v>
      </c>
      <c r="Z27">
        <v>21.43</v>
      </c>
    </row>
    <row r="28" spans="1:26" hidden="1" x14ac:dyDescent="0.25">
      <c r="A28" s="1">
        <v>46081</v>
      </c>
      <c r="B28" s="6">
        <v>0.625</v>
      </c>
      <c r="C28" s="2" t="s">
        <v>36</v>
      </c>
      <c r="D28">
        <v>24</v>
      </c>
      <c r="E28" s="2" t="s">
        <v>78</v>
      </c>
      <c r="F28" s="2" t="s">
        <v>265</v>
      </c>
      <c r="G28" s="2" t="s">
        <v>99</v>
      </c>
      <c r="H28" s="2" t="s">
        <v>100</v>
      </c>
      <c r="I28">
        <v>1.95</v>
      </c>
      <c r="J28">
        <v>7.9</v>
      </c>
      <c r="K28">
        <v>1.07</v>
      </c>
      <c r="L28">
        <v>0.15</v>
      </c>
      <c r="M28">
        <v>9.4</v>
      </c>
      <c r="N28">
        <v>1.35</v>
      </c>
      <c r="O28">
        <v>3.59</v>
      </c>
      <c r="P28">
        <v>3.73</v>
      </c>
      <c r="Q28">
        <v>0.44</v>
      </c>
      <c r="R28">
        <v>0.35</v>
      </c>
      <c r="S28">
        <v>1.3</v>
      </c>
      <c r="T28">
        <v>0.27</v>
      </c>
      <c r="U28">
        <v>58.33</v>
      </c>
      <c r="V28">
        <v>8.33</v>
      </c>
      <c r="W28">
        <v>33.33</v>
      </c>
      <c r="X28">
        <v>18.18</v>
      </c>
      <c r="Y28">
        <v>27.27</v>
      </c>
      <c r="Z28">
        <v>54.55</v>
      </c>
    </row>
    <row r="29" spans="1:26" hidden="1" x14ac:dyDescent="0.25">
      <c r="A29" s="1">
        <v>46080</v>
      </c>
      <c r="B29" s="6">
        <v>0.66666666666666663</v>
      </c>
      <c r="C29" s="2" t="s">
        <v>43</v>
      </c>
      <c r="D29">
        <v>29</v>
      </c>
      <c r="E29" s="2" t="s">
        <v>249</v>
      </c>
      <c r="F29" s="2" t="s">
        <v>234</v>
      </c>
      <c r="G29" s="2" t="s">
        <v>102</v>
      </c>
      <c r="H29" s="2" t="s">
        <v>103</v>
      </c>
      <c r="I29">
        <v>3.49</v>
      </c>
      <c r="J29">
        <v>2.62</v>
      </c>
      <c r="K29">
        <v>0.46</v>
      </c>
      <c r="L29">
        <v>0.71</v>
      </c>
      <c r="M29">
        <v>2.98</v>
      </c>
      <c r="N29">
        <v>4.38</v>
      </c>
      <c r="O29">
        <v>5.45</v>
      </c>
      <c r="P29">
        <v>4.32</v>
      </c>
      <c r="Q29">
        <v>0.73</v>
      </c>
      <c r="R29">
        <v>0.68</v>
      </c>
      <c r="S29">
        <v>1.03</v>
      </c>
      <c r="T29">
        <v>1.27</v>
      </c>
      <c r="U29">
        <v>38.46</v>
      </c>
      <c r="V29">
        <v>23.08</v>
      </c>
      <c r="W29">
        <v>38.46</v>
      </c>
      <c r="X29">
        <v>50</v>
      </c>
      <c r="Y29">
        <v>21.43</v>
      </c>
      <c r="Z29">
        <v>28.57</v>
      </c>
    </row>
    <row r="30" spans="1:26" hidden="1" x14ac:dyDescent="0.25">
      <c r="A30" s="1">
        <v>46080</v>
      </c>
      <c r="B30" s="6">
        <v>0.66666666666666663</v>
      </c>
      <c r="C30" s="2" t="s">
        <v>154</v>
      </c>
      <c r="D30">
        <v>25</v>
      </c>
      <c r="E30" s="2" t="s">
        <v>248</v>
      </c>
      <c r="F30" s="2" t="s">
        <v>155</v>
      </c>
      <c r="G30" s="2" t="s">
        <v>102</v>
      </c>
      <c r="H30" s="2" t="s">
        <v>103</v>
      </c>
      <c r="I30">
        <v>2.72</v>
      </c>
      <c r="J30">
        <v>2.63</v>
      </c>
      <c r="K30">
        <v>0.45</v>
      </c>
      <c r="L30">
        <v>0.64</v>
      </c>
      <c r="M30">
        <v>3.11</v>
      </c>
      <c r="N30">
        <v>4.42</v>
      </c>
      <c r="O30">
        <v>3.01</v>
      </c>
      <c r="P30">
        <v>4.1500000000000004</v>
      </c>
      <c r="Q30">
        <v>0.43</v>
      </c>
      <c r="R30">
        <v>0.6</v>
      </c>
      <c r="S30">
        <v>0.63</v>
      </c>
      <c r="T30">
        <v>0.91</v>
      </c>
      <c r="U30">
        <v>27.27</v>
      </c>
      <c r="V30">
        <v>36.36</v>
      </c>
      <c r="W30">
        <v>36.36</v>
      </c>
      <c r="X30">
        <v>45.45</v>
      </c>
      <c r="Y30">
        <v>27.27</v>
      </c>
      <c r="Z30">
        <v>27.27</v>
      </c>
    </row>
    <row r="31" spans="1:26" hidden="1" x14ac:dyDescent="0.25">
      <c r="A31" s="1">
        <v>46080</v>
      </c>
      <c r="B31" s="6">
        <v>0.66666666666666663</v>
      </c>
      <c r="C31" s="2" t="s">
        <v>43</v>
      </c>
      <c r="D31">
        <v>29</v>
      </c>
      <c r="E31" s="2" t="s">
        <v>252</v>
      </c>
      <c r="F31" s="2" t="s">
        <v>253</v>
      </c>
      <c r="G31" s="2" t="s">
        <v>102</v>
      </c>
      <c r="H31" s="2" t="s">
        <v>103</v>
      </c>
      <c r="I31">
        <v>3.07</v>
      </c>
      <c r="J31">
        <v>2.16</v>
      </c>
      <c r="K31">
        <v>0.31</v>
      </c>
      <c r="L31">
        <v>0.92</v>
      </c>
      <c r="M31">
        <v>2</v>
      </c>
      <c r="N31">
        <v>6.22</v>
      </c>
      <c r="O31">
        <v>4.71</v>
      </c>
      <c r="P31">
        <v>3.55</v>
      </c>
      <c r="Q31">
        <v>0.68</v>
      </c>
      <c r="R31">
        <v>0.52</v>
      </c>
      <c r="S31">
        <v>0.96</v>
      </c>
      <c r="T31">
        <v>1.1200000000000001</v>
      </c>
      <c r="U31">
        <v>21.43</v>
      </c>
      <c r="V31">
        <v>21.43</v>
      </c>
      <c r="W31">
        <v>57.14</v>
      </c>
      <c r="X31">
        <v>50</v>
      </c>
      <c r="Y31">
        <v>28.57</v>
      </c>
      <c r="Z31">
        <v>21.43</v>
      </c>
    </row>
    <row r="32" spans="1:26" hidden="1" x14ac:dyDescent="0.25">
      <c r="A32" s="1">
        <v>46081</v>
      </c>
      <c r="B32" s="6">
        <v>0.66666666666666663</v>
      </c>
      <c r="C32" s="2" t="s">
        <v>154</v>
      </c>
      <c r="D32">
        <v>25</v>
      </c>
      <c r="E32" s="2" t="s">
        <v>255</v>
      </c>
      <c r="F32" s="2" t="s">
        <v>256</v>
      </c>
      <c r="G32" s="2" t="s">
        <v>102</v>
      </c>
      <c r="H32" s="2" t="s">
        <v>103</v>
      </c>
      <c r="I32">
        <v>2.2200000000000002</v>
      </c>
      <c r="J32">
        <v>2.29</v>
      </c>
      <c r="K32">
        <v>0.59</v>
      </c>
      <c r="L32">
        <v>0.76</v>
      </c>
      <c r="M32">
        <v>4.04</v>
      </c>
      <c r="N32">
        <v>5.25</v>
      </c>
      <c r="O32">
        <v>3.08</v>
      </c>
      <c r="P32">
        <v>2.89</v>
      </c>
      <c r="Q32">
        <v>0.45</v>
      </c>
      <c r="R32">
        <v>0.44</v>
      </c>
      <c r="S32">
        <v>0.82</v>
      </c>
      <c r="T32">
        <v>0.74</v>
      </c>
      <c r="U32">
        <v>33.33</v>
      </c>
      <c r="V32">
        <v>25</v>
      </c>
      <c r="W32">
        <v>41.67</v>
      </c>
      <c r="X32">
        <v>50</v>
      </c>
      <c r="Y32">
        <v>16.670000000000002</v>
      </c>
      <c r="Z32">
        <v>33.33</v>
      </c>
    </row>
    <row r="33" spans="1:26" hidden="1" x14ac:dyDescent="0.25">
      <c r="A33" s="1">
        <v>46080</v>
      </c>
      <c r="B33" s="6">
        <v>0.6875</v>
      </c>
      <c r="C33" s="2" t="s">
        <v>31</v>
      </c>
      <c r="D33">
        <v>28</v>
      </c>
      <c r="E33" s="2" t="s">
        <v>250</v>
      </c>
      <c r="F33" s="2" t="s">
        <v>175</v>
      </c>
      <c r="G33" s="2" t="s">
        <v>102</v>
      </c>
      <c r="H33" s="2" t="s">
        <v>103</v>
      </c>
      <c r="I33">
        <v>2.12</v>
      </c>
      <c r="J33">
        <v>2.5499999999999998</v>
      </c>
      <c r="K33">
        <v>0.62</v>
      </c>
      <c r="L33">
        <v>0.6</v>
      </c>
      <c r="M33">
        <v>4.38</v>
      </c>
      <c r="N33">
        <v>4.09</v>
      </c>
      <c r="O33">
        <v>2.4500000000000002</v>
      </c>
      <c r="P33">
        <v>3.55</v>
      </c>
      <c r="Q33">
        <v>0.35</v>
      </c>
      <c r="R33">
        <v>0.52</v>
      </c>
      <c r="S33">
        <v>0.66</v>
      </c>
      <c r="T33">
        <v>0.84</v>
      </c>
      <c r="U33">
        <v>38.46</v>
      </c>
      <c r="V33">
        <v>15.38</v>
      </c>
      <c r="W33">
        <v>46.15</v>
      </c>
      <c r="X33">
        <v>38.46</v>
      </c>
      <c r="Y33">
        <v>30.77</v>
      </c>
      <c r="Z33">
        <v>30.77</v>
      </c>
    </row>
    <row r="34" spans="1:26" hidden="1" x14ac:dyDescent="0.25">
      <c r="A34" s="1">
        <v>46081</v>
      </c>
      <c r="B34" s="6">
        <v>0.6875</v>
      </c>
      <c r="C34" s="2" t="s">
        <v>53</v>
      </c>
      <c r="D34">
        <v>24</v>
      </c>
      <c r="E34" s="2" t="s">
        <v>259</v>
      </c>
      <c r="F34" s="2" t="s">
        <v>121</v>
      </c>
      <c r="G34" s="2" t="s">
        <v>102</v>
      </c>
      <c r="H34" s="2" t="s">
        <v>103</v>
      </c>
      <c r="I34">
        <v>2.99</v>
      </c>
      <c r="J34">
        <v>2.67</v>
      </c>
      <c r="K34">
        <v>0.38</v>
      </c>
      <c r="L34">
        <v>0.64</v>
      </c>
      <c r="M34">
        <v>2.52</v>
      </c>
      <c r="N34">
        <v>4.3899999999999997</v>
      </c>
      <c r="O34">
        <v>4.83</v>
      </c>
      <c r="P34">
        <v>3.22</v>
      </c>
      <c r="Q34">
        <v>0.71</v>
      </c>
      <c r="R34">
        <v>0.48</v>
      </c>
      <c r="S34">
        <v>0.94</v>
      </c>
      <c r="T34">
        <v>0.71</v>
      </c>
      <c r="U34">
        <v>27.27</v>
      </c>
      <c r="V34">
        <v>27.27</v>
      </c>
      <c r="W34">
        <v>45.45</v>
      </c>
      <c r="X34">
        <v>50</v>
      </c>
      <c r="Y34">
        <v>16.670000000000002</v>
      </c>
      <c r="Z34">
        <v>33.33</v>
      </c>
    </row>
    <row r="35" spans="1:26" hidden="1" x14ac:dyDescent="0.25">
      <c r="A35" s="1">
        <v>46083</v>
      </c>
      <c r="B35" s="6">
        <v>0.6875</v>
      </c>
      <c r="C35" s="2" t="s">
        <v>31</v>
      </c>
      <c r="D35">
        <v>28</v>
      </c>
      <c r="E35" s="2" t="s">
        <v>277</v>
      </c>
      <c r="F35" s="2" t="s">
        <v>174</v>
      </c>
      <c r="G35" s="2" t="s">
        <v>99</v>
      </c>
      <c r="H35" s="2" t="s">
        <v>100</v>
      </c>
      <c r="I35">
        <v>2.0699999999999998</v>
      </c>
      <c r="J35">
        <v>3.97</v>
      </c>
      <c r="K35">
        <v>0.79</v>
      </c>
      <c r="L35">
        <v>0.28999999999999998</v>
      </c>
      <c r="M35">
        <v>5.98</v>
      </c>
      <c r="N35">
        <v>2.1</v>
      </c>
      <c r="O35">
        <v>2.84</v>
      </c>
      <c r="P35">
        <v>4.47</v>
      </c>
      <c r="Q35">
        <v>0.39</v>
      </c>
      <c r="R35">
        <v>0.59</v>
      </c>
      <c r="S35">
        <v>0.78</v>
      </c>
      <c r="T35">
        <v>0.64</v>
      </c>
      <c r="U35">
        <v>46.15</v>
      </c>
      <c r="V35">
        <v>23.08</v>
      </c>
      <c r="W35">
        <v>30.77</v>
      </c>
      <c r="X35">
        <v>28.57</v>
      </c>
      <c r="Y35">
        <v>21.43</v>
      </c>
      <c r="Z35">
        <v>50</v>
      </c>
    </row>
    <row r="36" spans="1:26" hidden="1" x14ac:dyDescent="0.25">
      <c r="A36" s="1">
        <v>46081</v>
      </c>
      <c r="B36" s="6">
        <v>0.69791666666666663</v>
      </c>
      <c r="C36" s="2" t="s">
        <v>61</v>
      </c>
      <c r="D36">
        <v>27</v>
      </c>
      <c r="E36" s="2" t="s">
        <v>119</v>
      </c>
      <c r="F36" s="2" t="s">
        <v>85</v>
      </c>
      <c r="G36" s="2" t="s">
        <v>99</v>
      </c>
      <c r="H36" s="2" t="s">
        <v>100</v>
      </c>
      <c r="I36">
        <v>1.91</v>
      </c>
      <c r="J36">
        <v>4.42</v>
      </c>
      <c r="K36">
        <v>1.06</v>
      </c>
      <c r="L36">
        <v>0.28000000000000003</v>
      </c>
      <c r="M36">
        <v>8.27</v>
      </c>
      <c r="N36">
        <v>2.11</v>
      </c>
      <c r="O36">
        <v>2.57</v>
      </c>
      <c r="P36">
        <v>3.41</v>
      </c>
      <c r="Q36">
        <v>0.35</v>
      </c>
      <c r="R36">
        <v>0.44</v>
      </c>
      <c r="S36">
        <v>0.85</v>
      </c>
      <c r="T36">
        <v>0.49</v>
      </c>
      <c r="U36">
        <v>53.85</v>
      </c>
      <c r="V36">
        <v>30.77</v>
      </c>
      <c r="W36">
        <v>15.38</v>
      </c>
      <c r="X36">
        <v>30.77</v>
      </c>
      <c r="Y36">
        <v>15.38</v>
      </c>
      <c r="Z36">
        <v>53.85</v>
      </c>
    </row>
    <row r="37" spans="1:26" hidden="1" x14ac:dyDescent="0.25">
      <c r="A37" s="1">
        <v>46080</v>
      </c>
      <c r="B37" s="6">
        <v>0.70833333333333337</v>
      </c>
      <c r="C37" s="2" t="s">
        <v>20</v>
      </c>
      <c r="D37">
        <v>28</v>
      </c>
      <c r="E37" s="2" t="s">
        <v>181</v>
      </c>
      <c r="F37" s="2" t="s">
        <v>64</v>
      </c>
      <c r="G37" s="2" t="s">
        <v>102</v>
      </c>
      <c r="H37" s="2" t="s">
        <v>103</v>
      </c>
      <c r="I37">
        <v>3.73</v>
      </c>
      <c r="J37">
        <v>3.42</v>
      </c>
      <c r="K37">
        <v>0.13</v>
      </c>
      <c r="L37">
        <v>0.56999999999999995</v>
      </c>
      <c r="M37">
        <v>0.94</v>
      </c>
      <c r="N37">
        <v>4.13</v>
      </c>
      <c r="O37">
        <v>2.64</v>
      </c>
      <c r="P37">
        <v>4.62</v>
      </c>
      <c r="Q37">
        <v>0.36</v>
      </c>
      <c r="R37">
        <v>0.61</v>
      </c>
      <c r="S37">
        <v>0.48</v>
      </c>
      <c r="T37">
        <v>0.83</v>
      </c>
      <c r="U37">
        <v>7.69</v>
      </c>
      <c r="V37">
        <v>15.38</v>
      </c>
      <c r="W37">
        <v>76.92</v>
      </c>
      <c r="X37">
        <v>46.15</v>
      </c>
      <c r="Y37">
        <v>30.77</v>
      </c>
      <c r="Z37">
        <v>23.08</v>
      </c>
    </row>
    <row r="38" spans="1:26" hidden="1" x14ac:dyDescent="0.25">
      <c r="A38" s="1">
        <v>46080</v>
      </c>
      <c r="B38" s="6">
        <v>0.70833333333333337</v>
      </c>
      <c r="C38" s="2" t="s">
        <v>63</v>
      </c>
      <c r="D38">
        <v>27</v>
      </c>
      <c r="E38" s="2" t="s">
        <v>86</v>
      </c>
      <c r="F38" s="2" t="s">
        <v>251</v>
      </c>
      <c r="G38" s="2" t="s">
        <v>99</v>
      </c>
      <c r="H38" s="2" t="s">
        <v>100</v>
      </c>
      <c r="I38">
        <v>2.2799999999999998</v>
      </c>
      <c r="J38">
        <v>3.73</v>
      </c>
      <c r="K38">
        <v>0.76</v>
      </c>
      <c r="L38">
        <v>0.17</v>
      </c>
      <c r="M38">
        <v>5.87</v>
      </c>
      <c r="N38">
        <v>1.28</v>
      </c>
      <c r="O38">
        <v>3.26</v>
      </c>
      <c r="P38">
        <v>2.63</v>
      </c>
      <c r="Q38">
        <v>0.41</v>
      </c>
      <c r="R38">
        <v>0.35</v>
      </c>
      <c r="S38">
        <v>0.7</v>
      </c>
      <c r="T38">
        <v>0.35</v>
      </c>
      <c r="U38">
        <v>46.15</v>
      </c>
      <c r="V38">
        <v>30.77</v>
      </c>
      <c r="W38">
        <v>23.08</v>
      </c>
      <c r="X38">
        <v>7.69</v>
      </c>
      <c r="Y38">
        <v>38.46</v>
      </c>
      <c r="Z38">
        <v>53.85</v>
      </c>
    </row>
    <row r="39" spans="1:26" x14ac:dyDescent="0.25">
      <c r="A39" s="1">
        <v>46082</v>
      </c>
      <c r="B39" s="6">
        <v>0.70833333333333337</v>
      </c>
      <c r="C39" s="2" t="s">
        <v>29</v>
      </c>
      <c r="D39">
        <v>26</v>
      </c>
      <c r="E39" s="2" t="s">
        <v>270</v>
      </c>
      <c r="F39" s="2" t="s">
        <v>271</v>
      </c>
      <c r="G39" s="2" t="s">
        <v>102</v>
      </c>
      <c r="H39" s="2" t="s">
        <v>103</v>
      </c>
      <c r="I39">
        <v>3.12</v>
      </c>
      <c r="J39">
        <v>3.41</v>
      </c>
      <c r="K39">
        <v>0.51</v>
      </c>
      <c r="L39">
        <v>0.56000000000000005</v>
      </c>
      <c r="M39">
        <v>4</v>
      </c>
      <c r="N39">
        <v>4.3499999999999996</v>
      </c>
      <c r="O39">
        <v>3.17</v>
      </c>
      <c r="P39">
        <v>4.74</v>
      </c>
      <c r="Q39">
        <v>0.39</v>
      </c>
      <c r="R39">
        <v>0.55000000000000004</v>
      </c>
      <c r="S39">
        <v>0.56000000000000005</v>
      </c>
      <c r="T39">
        <v>0.68</v>
      </c>
      <c r="U39">
        <v>33.33</v>
      </c>
      <c r="V39">
        <v>33.33</v>
      </c>
      <c r="W39">
        <v>33.33</v>
      </c>
      <c r="X39">
        <v>41.67</v>
      </c>
      <c r="Y39">
        <v>41.67</v>
      </c>
      <c r="Z39">
        <v>16.670000000000002</v>
      </c>
    </row>
    <row r="40" spans="1:26" x14ac:dyDescent="0.25">
      <c r="A40" s="1">
        <v>46082</v>
      </c>
      <c r="B40" s="6">
        <v>0.72916666666666663</v>
      </c>
      <c r="C40" s="2" t="s">
        <v>267</v>
      </c>
      <c r="D40">
        <v>24</v>
      </c>
      <c r="E40" s="2" t="s">
        <v>268</v>
      </c>
      <c r="F40" s="2" t="s">
        <v>269</v>
      </c>
      <c r="G40" s="2" t="s">
        <v>102</v>
      </c>
      <c r="H40" s="2" t="s">
        <v>103</v>
      </c>
      <c r="I40">
        <v>3.97</v>
      </c>
      <c r="J40">
        <v>3.53</v>
      </c>
      <c r="K40">
        <v>0.27</v>
      </c>
      <c r="L40">
        <v>0.52</v>
      </c>
      <c r="M40">
        <v>1.96</v>
      </c>
      <c r="N40">
        <v>4</v>
      </c>
      <c r="O40">
        <v>2.82</v>
      </c>
      <c r="P40">
        <v>1.63</v>
      </c>
      <c r="Q40">
        <v>0.39</v>
      </c>
      <c r="R40">
        <v>0.22</v>
      </c>
      <c r="S40">
        <v>0.54</v>
      </c>
      <c r="T40">
        <v>0.39</v>
      </c>
      <c r="U40">
        <v>18.18</v>
      </c>
      <c r="V40">
        <v>27.27</v>
      </c>
      <c r="W40">
        <v>54.55</v>
      </c>
      <c r="X40">
        <v>36.36</v>
      </c>
      <c r="Y40">
        <v>27.27</v>
      </c>
      <c r="Z40">
        <v>36.36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C7E7D-7409-4C07-B6CE-4729204CBE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BASE_MASTER_V20</vt:lpstr>
      <vt:lpstr>0_00_A_PAINEL_MASTER_V20_APOSTA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Tarcisio</dc:creator>
  <cp:lastModifiedBy>Tarcisio</cp:lastModifiedBy>
  <dcterms:created xsi:type="dcterms:W3CDTF">2026-01-01T12:01:53Z</dcterms:created>
  <dcterms:modified xsi:type="dcterms:W3CDTF">2026-03-01T23:39:33Z</dcterms:modified>
</cp:coreProperties>
</file>